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지출내역" sheetId="1" state="visible" r:id="rId3"/>
    <sheet name="환율" sheetId="2" state="visible" r:id="rId4"/>
    <sheet name="요약" sheetId="3" state="visible" r:id="rId5"/>
  </sheets>
  <definedNames>
    <definedName function="false" hidden="true" localSheetId="0" name="_xlnm._FilterDatabase" vbProcedure="false">지출내역!$A$1:$O$101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WenQuanYi Zen Hei"/>
            <family val="2"/>
          </rPr>
          <t xml:space="preserve">영수증에 연도가 없어 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년으로 가정</t>
        </r>
      </text>
    </comment>
    <comment ref="I1" authorId="0">
      <text>
        <r>
          <rPr>
            <sz val="10"/>
            <rFont val="WenQuanYi Zen Hei"/>
            <family val="2"/>
          </rPr>
          <t xml:space="preserve">원화가 기준 통화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결제금액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WenQuanYi Zen Hei"/>
            <family val="2"/>
          </rPr>
          <t xml:space="preserve">적용환율</t>
        </r>
      </text>
    </comment>
    <comment ref="J1" authorId="0">
      <text>
        <r>
          <rPr>
            <sz val="10"/>
            <rFont val="WenQuanYi Zen Hei"/>
            <family val="2"/>
          </rPr>
          <t xml:space="preserve">원화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WenQuanYi Zen Hei"/>
            <family val="2"/>
          </rPr>
          <t xml:space="preserve">환율</t>
        </r>
        <r>
          <rPr>
            <sz val="10"/>
            <rFont val="Arial"/>
            <family val="2"/>
          </rPr>
          <t xml:space="preserve">!USD</t>
        </r>
      </text>
    </comment>
    <comment ref="K1" authorId="0">
      <text>
        <r>
          <rPr>
            <sz val="10"/>
            <rFont val="WenQuanYi Zen Hei"/>
            <family val="2"/>
          </rPr>
          <t xml:space="preserve">원화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WenQuanYi Zen Hei"/>
            <family val="2"/>
          </rPr>
          <t xml:space="preserve">환율</t>
        </r>
        <r>
          <rPr>
            <sz val="10"/>
            <rFont val="Arial"/>
            <family val="2"/>
          </rPr>
          <t xml:space="preserve">!MNT</t>
        </r>
      </text>
    </comment>
  </commentList>
</comments>
</file>

<file path=xl/sharedStrings.xml><?xml version="1.0" encoding="utf-8"?>
<sst xmlns="http://schemas.openxmlformats.org/spreadsheetml/2006/main" count="100" uniqueCount="61">
  <si>
    <t xml:space="preserve">No</t>
  </si>
  <si>
    <t xml:space="preserve">날짜</t>
  </si>
  <si>
    <t xml:space="preserve">시간</t>
  </si>
  <si>
    <t xml:space="preserve">가맹점</t>
  </si>
  <si>
    <r>
      <rPr>
        <b val="true"/>
        <sz val="11"/>
        <rFont val="WenQuanYi Zen Hei"/>
        <family val="2"/>
      </rPr>
      <t xml:space="preserve">품목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WenQuanYi Zen Hei"/>
        <family val="2"/>
      </rPr>
      <t xml:space="preserve">내용</t>
    </r>
  </si>
  <si>
    <t xml:space="preserve">결제통화</t>
  </si>
  <si>
    <t xml:space="preserve">결제금액</t>
  </si>
  <si>
    <r>
      <rPr>
        <b val="true"/>
        <sz val="11"/>
        <rFont val="WenQuanYi Zen Hei"/>
        <family val="2"/>
      </rPr>
      <t xml:space="preserve">적용환율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원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WenQuanYi Zen Hei"/>
        <family val="2"/>
      </rPr>
      <t xml:space="preserve">단위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</si>
  <si>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원화</t>
    </r>
    <r>
      <rPr>
        <b val="true"/>
        <sz val="11"/>
        <rFont val="Arial"/>
        <family val="0"/>
        <charset val="1"/>
      </rPr>
      <t xml:space="preserve">(KRW)</t>
    </r>
  </si>
  <si>
    <r>
      <rPr>
        <b val="true"/>
        <sz val="11"/>
        <rFont val="WenQuanYi Zen Hei"/>
        <family val="2"/>
      </rPr>
      <t xml:space="preserve">달러</t>
    </r>
    <r>
      <rPr>
        <b val="true"/>
        <sz val="11"/>
        <rFont val="Arial"/>
        <family val="0"/>
        <charset val="1"/>
      </rPr>
      <t xml:space="preserve">(USD)</t>
    </r>
  </si>
  <si>
    <r>
      <rPr>
        <b val="true"/>
        <sz val="11"/>
        <rFont val="WenQuanYi Zen Hei"/>
        <family val="2"/>
      </rPr>
      <t xml:space="preserve">투그릭</t>
    </r>
    <r>
      <rPr>
        <b val="true"/>
        <sz val="11"/>
        <rFont val="Arial"/>
        <family val="0"/>
        <charset val="1"/>
      </rPr>
      <t xml:space="preserve">(MNT)</t>
    </r>
  </si>
  <si>
    <r>
      <rPr>
        <b val="true"/>
        <sz val="11"/>
        <rFont val="WenQuanYi Zen Hei"/>
        <family val="2"/>
      </rPr>
      <t xml:space="preserve">개인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WenQuanYi Zen Hei"/>
        <family val="2"/>
      </rPr>
      <t xml:space="preserve">공금</t>
    </r>
  </si>
  <si>
    <t xml:space="preserve">소비패턴</t>
  </si>
  <si>
    <t xml:space="preserve">출처</t>
  </si>
  <si>
    <t xml:space="preserve">비고</t>
  </si>
  <si>
    <t xml:space="preserve">12:14</t>
  </si>
  <si>
    <t xml:space="preserve">NOMINGOBI</t>
  </si>
  <si>
    <t xml:space="preserve">품목 미확인</t>
  </si>
  <si>
    <t xml:space="preserve">MNT</t>
  </si>
  <si>
    <t xml:space="preserve">미정</t>
  </si>
  <si>
    <t xml:space="preserve">기타</t>
  </si>
  <si>
    <t xml:space="preserve">영수증</t>
  </si>
  <si>
    <t xml:space="preserve">품목 확인 필요</t>
  </si>
  <si>
    <t xml:space="preserve">12:16</t>
  </si>
  <si>
    <t xml:space="preserve">NOMIN</t>
  </si>
  <si>
    <t xml:space="preserve">초콜릿</t>
  </si>
  <si>
    <t xml:space="preserve">생필품</t>
  </si>
  <si>
    <t xml:space="preserve">11:30</t>
  </si>
  <si>
    <t xml:space="preserve">NOMIN BUSINESS CLUB</t>
  </si>
  <si>
    <r>
      <rPr>
        <sz val="11"/>
        <color rgb="FF0000FF"/>
        <rFont val="WenQuanYi Zen Hei"/>
        <family val="2"/>
      </rPr>
      <t xml:space="preserve">아이스크림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개</t>
    </r>
  </si>
  <si>
    <t xml:space="preserve">11:32</t>
  </si>
  <si>
    <t xml:space="preserve">20:53</t>
  </si>
  <si>
    <t xml:space="preserve">놈곤 상점</t>
  </si>
  <si>
    <r>
      <rPr>
        <sz val="11"/>
        <color rgb="FF0000FF"/>
        <rFont val="WenQuanYi Zen Hei"/>
        <family val="2"/>
      </rPr>
      <t xml:space="preserve">콜라 </t>
    </r>
    <r>
      <rPr>
        <sz val="11"/>
        <color rgb="FF0000FF"/>
        <rFont val="Arial"/>
        <family val="0"/>
        <charset val="1"/>
      </rPr>
      <t xml:space="preserve">300ml</t>
    </r>
  </si>
  <si>
    <t xml:space="preserve">14:17</t>
  </si>
  <si>
    <t xml:space="preserve">STORE 5017</t>
  </si>
  <si>
    <t xml:space="preserve">카드 사용 확인용 구매</t>
  </si>
  <si>
    <t xml:space="preserve">14:56</t>
  </si>
  <si>
    <r>
      <rPr>
        <sz val="11"/>
        <color rgb="FF0000FF"/>
        <rFont val="Arial"/>
        <family val="0"/>
        <charset val="1"/>
      </rPr>
      <t xml:space="preserve">DREAM PLAZA 1-1 </t>
    </r>
    <r>
      <rPr>
        <sz val="11"/>
        <color rgb="FF0000FF"/>
        <rFont val="WenQuanYi Zen Hei"/>
        <family val="2"/>
      </rPr>
      <t xml:space="preserve">뷰티재팬</t>
    </r>
  </si>
  <si>
    <t xml:space="preserve">간식</t>
  </si>
  <si>
    <r>
      <rPr>
        <sz val="11"/>
        <color rgb="FF0000FF"/>
        <rFont val="WenQuanYi Zen Hei"/>
        <family val="2"/>
      </rPr>
      <t xml:space="preserve">미확인 </t>
    </r>
    <r>
      <rPr>
        <sz val="11"/>
        <color rgb="FF0000FF"/>
        <rFont val="Arial"/>
        <family val="0"/>
        <charset val="1"/>
      </rPr>
      <t xml:space="preserve">SendMN</t>
    </r>
  </si>
  <si>
    <r>
      <rPr>
        <sz val="11"/>
        <color rgb="FF0000FF"/>
        <rFont val="WenQuanYi Zen Hei"/>
        <family val="2"/>
      </rPr>
      <t xml:space="preserve">현금 지급</t>
    </r>
    <r>
      <rPr>
        <sz val="11"/>
        <color rgb="FF0000FF"/>
        <rFont val="Arial"/>
        <family val="0"/>
        <charset val="1"/>
      </rPr>
      <t xml:space="preserve">·</t>
    </r>
    <r>
      <rPr>
        <sz val="11"/>
        <color rgb="FF0000FF"/>
        <rFont val="WenQuanYi Zen Hei"/>
        <family val="2"/>
      </rPr>
      <t xml:space="preserve">송금 추정</t>
    </r>
  </si>
  <si>
    <r>
      <rPr>
        <sz val="11"/>
        <color rgb="FF0000FF"/>
        <rFont val="WenQuanYi Zen Hei"/>
        <family val="2"/>
      </rPr>
      <t xml:space="preserve">날짜 불명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WenQuanYi Zen Hei"/>
        <family val="2"/>
      </rPr>
      <t xml:space="preserve">용도 확인 필요</t>
    </r>
  </si>
  <si>
    <t xml:space="preserve">합계</t>
  </si>
  <si>
    <t xml:space="preserve">통화</t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</si>
  <si>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단위당 원화</t>
    </r>
    <r>
      <rPr>
        <b val="true"/>
        <sz val="11"/>
        <rFont val="Arial"/>
        <family val="0"/>
        <charset val="1"/>
      </rPr>
      <t xml:space="preserve">(KRW)</t>
    </r>
  </si>
  <si>
    <t xml:space="preserve">설명</t>
  </si>
  <si>
    <t xml:space="preserve">KRW</t>
  </si>
  <si>
    <t xml:space="preserve">기준 통화</t>
  </si>
  <si>
    <t xml:space="preserve">USD</t>
  </si>
  <si>
    <r>
      <rPr>
        <sz val="11"/>
        <color theme="1"/>
        <rFont val="WenQuanYi Zen Hei"/>
        <family val="2"/>
      </rPr>
      <t xml:space="preserve">가정치 — 실제 환전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카드 청구 환율로 교체</t>
    </r>
  </si>
  <si>
    <r>
      <rPr>
        <i val="true"/>
        <sz val="11"/>
        <color rgb="FF595959"/>
        <rFont val="WenQuanYi Zen Hei"/>
        <family val="2"/>
      </rPr>
      <t xml:space="preserve">노란 칸</t>
    </r>
    <r>
      <rPr>
        <i val="true"/>
        <sz val="11"/>
        <color rgb="FF595959"/>
        <rFont val="Arial"/>
        <family val="0"/>
        <charset val="1"/>
      </rPr>
      <t xml:space="preserve">(B3:B4)</t>
    </r>
    <r>
      <rPr>
        <i val="true"/>
        <sz val="11"/>
        <color rgb="FF595959"/>
        <rFont val="WenQuanYi Zen Hei"/>
        <family val="2"/>
      </rPr>
      <t xml:space="preserve">만 수정하면 모든 시트의 원화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WenQuanYi Zen Hei"/>
        <family val="2"/>
      </rPr>
      <t xml:space="preserve">달러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WenQuanYi Zen Hei"/>
        <family val="2"/>
      </rPr>
      <t xml:space="preserve">투그릭 금액이 다시 계산됩니다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</si>
  <si>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WenQuanYi Zen Hei"/>
        <family val="2"/>
      </rPr>
      <t xml:space="preserve">환율 가정</t>
    </r>
    <r>
      <rPr>
        <i val="true"/>
        <sz val="11"/>
        <color rgb="FF595959"/>
        <rFont val="Arial"/>
        <family val="0"/>
        <charset val="1"/>
      </rPr>
      <t xml:space="preserve">: 2026-10 </t>
    </r>
    <r>
      <rPr>
        <i val="true"/>
        <sz val="11"/>
        <color rgb="FF595959"/>
        <rFont val="WenQuanYi Zen Hei"/>
        <family val="2"/>
      </rPr>
      <t xml:space="preserve">기준 대략치</t>
    </r>
    <r>
      <rPr>
        <i val="true"/>
        <sz val="11"/>
        <color rgb="FF595959"/>
        <rFont val="Arial"/>
        <family val="0"/>
        <charset val="1"/>
      </rPr>
      <t xml:space="preserve">(1 USD ≈ 1,380</t>
    </r>
    <r>
      <rPr>
        <i val="true"/>
        <sz val="11"/>
        <color rgb="FF595959"/>
        <rFont val="WenQuanYi Zen Hei"/>
        <family val="2"/>
      </rPr>
      <t xml:space="preserve">원</t>
    </r>
    <r>
      <rPr>
        <i val="true"/>
        <sz val="11"/>
        <color rgb="FF595959"/>
        <rFont val="Arial"/>
        <family val="0"/>
        <charset val="1"/>
      </rPr>
      <t xml:space="preserve">, 1 MNT ≈ 0.40</t>
    </r>
    <r>
      <rPr>
        <i val="true"/>
        <sz val="11"/>
        <color rgb="FF595959"/>
        <rFont val="WenQuanYi Zen Hei"/>
        <family val="2"/>
      </rPr>
      <t xml:space="preserve">원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WenQuanYi Zen Hei"/>
        <family val="2"/>
      </rPr>
      <t xml:space="preserve">출처 없음 — 반드시 실제 값으로 교체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</si>
  <si>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2"/>
        <rFont val="WenQuanYi Zen Hei"/>
        <family val="2"/>
      </rPr>
      <t xml:space="preserve">소비패턴 </t>
    </r>
    <r>
      <rPr>
        <b val="true"/>
        <sz val="12"/>
        <rFont val="Arial"/>
        <family val="0"/>
        <charset val="1"/>
      </rPr>
      <t xml:space="preserve">× </t>
    </r>
    <r>
      <rPr>
        <b val="true"/>
        <sz val="12"/>
        <rFont val="WenQuanYi Zen Hei"/>
        <family val="2"/>
      </rPr>
      <t xml:space="preserve">개인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WenQuanYi Zen Hei"/>
        <family val="2"/>
      </rPr>
      <t xml:space="preserve">공금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원화 기준</t>
    </r>
    <r>
      <rPr>
        <b val="true"/>
        <sz val="12"/>
        <rFont val="Arial"/>
        <family val="0"/>
        <charset val="1"/>
      </rPr>
      <t xml:space="preserve">)</t>
    </r>
  </si>
  <si>
    <t xml:space="preserve">개인</t>
  </si>
  <si>
    <t xml:space="preserve">공금</t>
  </si>
  <si>
    <r>
      <rPr>
        <b val="true"/>
        <sz val="11"/>
        <rFont val="WenQuanYi Zen Hei"/>
        <family val="2"/>
      </rPr>
      <t xml:space="preserve">합계</t>
    </r>
    <r>
      <rPr>
        <b val="true"/>
        <sz val="11"/>
        <rFont val="Arial"/>
        <family val="0"/>
        <charset val="1"/>
      </rPr>
      <t xml:space="preserve">(KRW)</t>
    </r>
  </si>
  <si>
    <t xml:space="preserve">비중</t>
  </si>
  <si>
    <t xml:space="preserve">예약금</t>
  </si>
  <si>
    <r>
      <rPr>
        <sz val="11"/>
        <rFont val="WenQuanYi Zen Hei"/>
        <family val="2"/>
      </rPr>
      <t xml:space="preserve">검증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요약 합계 − 지출내역 합계 </t>
    </r>
    <r>
      <rPr>
        <sz val="11"/>
        <rFont val="Arial"/>
        <family val="0"/>
        <charset val="1"/>
      </rPr>
      <t xml:space="preserve">(0</t>
    </r>
    <r>
      <rPr>
        <sz val="11"/>
        <rFont val="WenQuanYi Zen Hei"/>
        <family val="2"/>
      </rPr>
      <t xml:space="preserve">이어야 정상 — 분류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구분 칸이 비었거나 목록 외 값이면 </t>
    </r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이 아님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</si>
  <si>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입력 안내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지출내역 시트의 파란 글씨 칸</t>
    </r>
    <r>
      <rPr>
        <sz val="11"/>
        <rFont val="Arial"/>
        <family val="0"/>
        <charset val="1"/>
      </rPr>
      <t xml:space="preserve">(B~G, L~O)</t>
    </r>
    <r>
      <rPr>
        <sz val="11"/>
        <rFont val="WenQuanYi Zen Hei"/>
        <family val="2"/>
      </rPr>
      <t xml:space="preserve">만 입력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검정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초록 칸은 수식이며 </t>
    </r>
    <r>
      <rPr>
        <sz val="11"/>
        <rFont val="Arial"/>
        <family val="0"/>
        <charset val="1"/>
      </rPr>
      <t xml:space="preserve">101</t>
    </r>
    <r>
      <rPr>
        <sz val="11"/>
        <rFont val="WenQuanYi Zen Hei"/>
        <family val="2"/>
      </rPr>
      <t xml:space="preserve">행까지 미리 채워져 있음</t>
    </r>
    <r>
      <rPr>
        <sz val="11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</si>
</sst>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yyyy\-mm\-dd"/>
    <numFmt numFmtId="167" formatCode="#,##0.00"/>
    <numFmt numFmtId="168" formatCode="#,##0.0000"/>
    <numFmt numFmtId="169" formatCode="#,##0"/>
    <numFmt numFmtId="170" formatCode="\$#,##0.00"/>
    <numFmt numFmtId="171" formatCode="#,##0;\(#,##0\);\-"/>
    <numFmt numFmtId="172" formatCode="\$#,##0.00;&quot;($&quot;#,##0.00\);\-"/>
    <numFmt numFmtId="173" formatCode="0.0%;\(0.0%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name val="WenQuanYi Zen Hei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WenQuanYi Zen Hei"/>
      <family val="2"/>
    </font>
    <font>
      <sz val="11"/>
      <color rgb="FF008000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sz val="11"/>
      <color theme="1"/>
      <name val="WenQuanYi Zen Hei"/>
      <family val="2"/>
    </font>
    <font>
      <i val="true"/>
      <sz val="11"/>
      <color rgb="FF595959"/>
      <name val="WenQuanYi Zen Hei"/>
      <family val="2"/>
    </font>
    <font>
      <i val="true"/>
      <sz val="11"/>
      <color rgb="FF595959"/>
      <name val="Arial"/>
      <family val="0"/>
      <charset val="1"/>
    </font>
    <font>
      <b val="true"/>
      <sz val="12"/>
      <name val="WenQuanYi Zen Hei"/>
      <family val="2"/>
    </font>
    <font>
      <b val="true"/>
      <sz val="12"/>
      <name val="Arial"/>
      <family val="0"/>
      <charset val="1"/>
    </font>
    <font>
      <sz val="11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3" min="12" style="0" width="10"/>
    <col collapsed="false" customWidth="true" hidden="false" outlineLevel="0" max="14" min="14" style="0" width="9"/>
    <col collapsed="false" customWidth="true" hidden="false" outlineLevel="0" max="15" min="15" style="0" width="26"/>
  </cols>
  <sheetData>
    <row r="1" customFormat="false" ht="41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3" t="n">
        <f aca="false">IF(G2="","",ROW()-1)</f>
        <v>1</v>
      </c>
      <c r="B2" s="4" t="n">
        <v>46300</v>
      </c>
      <c r="C2" s="5" t="s">
        <v>15</v>
      </c>
      <c r="D2" s="5" t="s">
        <v>16</v>
      </c>
      <c r="E2" s="6" t="s">
        <v>17</v>
      </c>
      <c r="F2" s="5" t="s">
        <v>18</v>
      </c>
      <c r="G2" s="7" t="n">
        <v>620094</v>
      </c>
      <c r="H2" s="8" t="n">
        <f aca="false">IF(G2="","",INDEX(환율!$B$2:$B$10,MATCH(F2,환율!$A$2:$A$10,0)))</f>
        <v>0.4</v>
      </c>
      <c r="I2" s="9" t="n">
        <f aca="false">IF(G2="","",G2*H2)</f>
        <v>248037.6</v>
      </c>
      <c r="J2" s="10" t="n">
        <f aca="false">IF(G2="","",I2/INDEX(환율!$B$2:$B$10,MATCH("USD",환율!$A$2:$A$10,0)))</f>
        <v>179.737391304348</v>
      </c>
      <c r="K2" s="9" t="n">
        <f aca="false">IF(G2="","",I2/INDEX(환율!$B$2:$B$10,MATCH("MNT",환율!$A$2:$A$10,0)))</f>
        <v>620094</v>
      </c>
      <c r="L2" s="6" t="s">
        <v>19</v>
      </c>
      <c r="M2" s="6" t="s">
        <v>20</v>
      </c>
      <c r="N2" s="6" t="s">
        <v>21</v>
      </c>
      <c r="O2" s="6" t="s">
        <v>22</v>
      </c>
    </row>
    <row r="3" customFormat="false" ht="15" hidden="false" customHeight="false" outlineLevel="0" collapsed="false">
      <c r="A3" s="3" t="n">
        <f aca="false">IF(G3="","",ROW()-1)</f>
        <v>2</v>
      </c>
      <c r="B3" s="4" t="n">
        <v>46300</v>
      </c>
      <c r="C3" s="5" t="s">
        <v>23</v>
      </c>
      <c r="D3" s="5" t="s">
        <v>24</v>
      </c>
      <c r="E3" s="6" t="s">
        <v>25</v>
      </c>
      <c r="F3" s="5" t="s">
        <v>18</v>
      </c>
      <c r="G3" s="7" t="n">
        <v>11380</v>
      </c>
      <c r="H3" s="8" t="n">
        <f aca="false">IF(G3="","",INDEX(환율!$B$2:$B$10,MATCH(F3,환율!$A$2:$A$10,0)))</f>
        <v>0.4</v>
      </c>
      <c r="I3" s="9" t="n">
        <f aca="false">IF(G3="","",G3*H3)</f>
        <v>4552</v>
      </c>
      <c r="J3" s="10" t="n">
        <f aca="false">IF(G3="","",I3/INDEX(환율!$B$2:$B$10,MATCH("USD",환율!$A$2:$A$10,0)))</f>
        <v>3.29855072463768</v>
      </c>
      <c r="K3" s="9" t="n">
        <f aca="false">IF(G3="","",I3/INDEX(환율!$B$2:$B$10,MATCH("MNT",환율!$A$2:$A$10,0)))</f>
        <v>11380</v>
      </c>
      <c r="L3" s="6" t="s">
        <v>19</v>
      </c>
      <c r="M3" s="6" t="s">
        <v>26</v>
      </c>
      <c r="N3" s="6" t="s">
        <v>21</v>
      </c>
      <c r="O3" s="5"/>
    </row>
    <row r="4" customFormat="false" ht="15" hidden="false" customHeight="false" outlineLevel="0" collapsed="false">
      <c r="A4" s="3" t="n">
        <f aca="false">IF(G4="","",ROW()-1)</f>
        <v>3</v>
      </c>
      <c r="B4" s="4" t="n">
        <v>46303</v>
      </c>
      <c r="C4" s="5" t="s">
        <v>27</v>
      </c>
      <c r="D4" s="5" t="s">
        <v>28</v>
      </c>
      <c r="E4" s="6" t="s">
        <v>29</v>
      </c>
      <c r="F4" s="5" t="s">
        <v>18</v>
      </c>
      <c r="G4" s="7" t="n">
        <v>12654</v>
      </c>
      <c r="H4" s="8" t="n">
        <f aca="false">IF(G4="","",INDEX(환율!$B$2:$B$10,MATCH(F4,환율!$A$2:$A$10,0)))</f>
        <v>0.4</v>
      </c>
      <c r="I4" s="9" t="n">
        <f aca="false">IF(G4="","",G4*H4)</f>
        <v>5061.6</v>
      </c>
      <c r="J4" s="10" t="n">
        <f aca="false">IF(G4="","",I4/INDEX(환율!$B$2:$B$10,MATCH("USD",환율!$A$2:$A$10,0)))</f>
        <v>3.66782608695652</v>
      </c>
      <c r="K4" s="9" t="n">
        <f aca="false">IF(G4="","",I4/INDEX(환율!$B$2:$B$10,MATCH("MNT",환율!$A$2:$A$10,0)))</f>
        <v>12654</v>
      </c>
      <c r="L4" s="6" t="s">
        <v>19</v>
      </c>
      <c r="M4" s="6" t="s">
        <v>26</v>
      </c>
      <c r="N4" s="6" t="s">
        <v>21</v>
      </c>
      <c r="O4" s="5"/>
    </row>
    <row r="5" customFormat="false" ht="15" hidden="false" customHeight="false" outlineLevel="0" collapsed="false">
      <c r="A5" s="3" t="n">
        <f aca="false">IF(G5="","",ROW()-1)</f>
        <v>4</v>
      </c>
      <c r="B5" s="4" t="n">
        <v>46303</v>
      </c>
      <c r="C5" s="5" t="s">
        <v>30</v>
      </c>
      <c r="D5" s="5" t="s">
        <v>28</v>
      </c>
      <c r="E5" s="6" t="s">
        <v>17</v>
      </c>
      <c r="F5" s="5" t="s">
        <v>18</v>
      </c>
      <c r="G5" s="7" t="n">
        <v>96285</v>
      </c>
      <c r="H5" s="8" t="n">
        <f aca="false">IF(G5="","",INDEX(환율!$B$2:$B$10,MATCH(F5,환율!$A$2:$A$10,0)))</f>
        <v>0.4</v>
      </c>
      <c r="I5" s="9" t="n">
        <f aca="false">IF(G5="","",G5*H5)</f>
        <v>38514</v>
      </c>
      <c r="J5" s="10" t="n">
        <f aca="false">IF(G5="","",I5/INDEX(환율!$B$2:$B$10,MATCH("USD",환율!$A$2:$A$10,0)))</f>
        <v>27.9086956521739</v>
      </c>
      <c r="K5" s="9" t="n">
        <f aca="false">IF(G5="","",I5/INDEX(환율!$B$2:$B$10,MATCH("MNT",환율!$A$2:$A$10,0)))</f>
        <v>96285</v>
      </c>
      <c r="L5" s="6" t="s">
        <v>19</v>
      </c>
      <c r="M5" s="6" t="s">
        <v>20</v>
      </c>
      <c r="N5" s="6" t="s">
        <v>21</v>
      </c>
      <c r="O5" s="6" t="s">
        <v>22</v>
      </c>
    </row>
    <row r="6" customFormat="false" ht="15" hidden="false" customHeight="false" outlineLevel="0" collapsed="false">
      <c r="A6" s="3" t="n">
        <f aca="false">IF(G6="","",ROW()-1)</f>
        <v>5</v>
      </c>
      <c r="B6" s="4" t="n">
        <v>46303</v>
      </c>
      <c r="C6" s="5" t="s">
        <v>31</v>
      </c>
      <c r="D6" s="6" t="s">
        <v>32</v>
      </c>
      <c r="E6" s="6" t="s">
        <v>33</v>
      </c>
      <c r="F6" s="5" t="s">
        <v>18</v>
      </c>
      <c r="G6" s="7" t="n">
        <v>1390</v>
      </c>
      <c r="H6" s="8" t="n">
        <f aca="false">IF(G6="","",INDEX(환율!$B$2:$B$10,MATCH(F6,환율!$A$2:$A$10,0)))</f>
        <v>0.4</v>
      </c>
      <c r="I6" s="9" t="n">
        <f aca="false">IF(G6="","",G6*H6)</f>
        <v>556</v>
      </c>
      <c r="J6" s="10" t="n">
        <f aca="false">IF(G6="","",I6/INDEX(환율!$B$2:$B$10,MATCH("USD",환율!$A$2:$A$10,0)))</f>
        <v>0.402898550724638</v>
      </c>
      <c r="K6" s="9" t="n">
        <f aca="false">IF(G6="","",I6/INDEX(환율!$B$2:$B$10,MATCH("MNT",환율!$A$2:$A$10,0)))</f>
        <v>1390</v>
      </c>
      <c r="L6" s="6" t="s">
        <v>19</v>
      </c>
      <c r="M6" s="6" t="s">
        <v>26</v>
      </c>
      <c r="N6" s="6" t="s">
        <v>21</v>
      </c>
      <c r="O6" s="5"/>
    </row>
    <row r="7" customFormat="false" ht="15" hidden="false" customHeight="false" outlineLevel="0" collapsed="false">
      <c r="A7" s="3" t="n">
        <f aca="false">IF(G7="","",ROW()-1)</f>
        <v>6</v>
      </c>
      <c r="B7" s="4" t="n">
        <v>46304</v>
      </c>
      <c r="C7" s="5" t="s">
        <v>34</v>
      </c>
      <c r="D7" s="5" t="s">
        <v>35</v>
      </c>
      <c r="E7" s="6" t="s">
        <v>36</v>
      </c>
      <c r="F7" s="5" t="s">
        <v>18</v>
      </c>
      <c r="G7" s="7" t="n">
        <v>5850</v>
      </c>
      <c r="H7" s="8" t="n">
        <f aca="false">IF(G7="","",INDEX(환율!$B$2:$B$10,MATCH(F7,환율!$A$2:$A$10,0)))</f>
        <v>0.4</v>
      </c>
      <c r="I7" s="9" t="n">
        <f aca="false">IF(G7="","",G7*H7)</f>
        <v>2340</v>
      </c>
      <c r="J7" s="10" t="n">
        <f aca="false">IF(G7="","",I7/INDEX(환율!$B$2:$B$10,MATCH("USD",환율!$A$2:$A$10,0)))</f>
        <v>1.69565217391304</v>
      </c>
      <c r="K7" s="9" t="n">
        <f aca="false">IF(G7="","",I7/INDEX(환율!$B$2:$B$10,MATCH("MNT",환율!$A$2:$A$10,0)))</f>
        <v>5850</v>
      </c>
      <c r="L7" s="6" t="s">
        <v>19</v>
      </c>
      <c r="M7" s="6" t="s">
        <v>20</v>
      </c>
      <c r="N7" s="6" t="s">
        <v>21</v>
      </c>
      <c r="O7" s="5"/>
    </row>
    <row r="8" customFormat="false" ht="15" hidden="false" customHeight="false" outlineLevel="0" collapsed="false">
      <c r="A8" s="3" t="n">
        <f aca="false">IF(G8="","",ROW()-1)</f>
        <v>7</v>
      </c>
      <c r="B8" s="4" t="n">
        <v>46304</v>
      </c>
      <c r="C8" s="5" t="s">
        <v>37</v>
      </c>
      <c r="D8" s="5" t="s">
        <v>38</v>
      </c>
      <c r="E8" s="6" t="s">
        <v>39</v>
      </c>
      <c r="F8" s="5" t="s">
        <v>18</v>
      </c>
      <c r="G8" s="7" t="n">
        <v>43600</v>
      </c>
      <c r="H8" s="8" t="n">
        <f aca="false">IF(G8="","",INDEX(환율!$B$2:$B$10,MATCH(F8,환율!$A$2:$A$10,0)))</f>
        <v>0.4</v>
      </c>
      <c r="I8" s="9" t="n">
        <f aca="false">IF(G8="","",G8*H8)</f>
        <v>17440</v>
      </c>
      <c r="J8" s="10" t="n">
        <f aca="false">IF(G8="","",I8/INDEX(환율!$B$2:$B$10,MATCH("USD",환율!$A$2:$A$10,0)))</f>
        <v>12.6376811594203</v>
      </c>
      <c r="K8" s="9" t="n">
        <f aca="false">IF(G8="","",I8/INDEX(환율!$B$2:$B$10,MATCH("MNT",환율!$A$2:$A$10,0)))</f>
        <v>43600</v>
      </c>
      <c r="L8" s="6" t="s">
        <v>19</v>
      </c>
      <c r="M8" s="6" t="s">
        <v>26</v>
      </c>
      <c r="N8" s="6" t="s">
        <v>21</v>
      </c>
      <c r="O8" s="5"/>
    </row>
    <row r="9" customFormat="false" ht="15" hidden="false" customHeight="false" outlineLevel="0" collapsed="false">
      <c r="A9" s="3" t="n">
        <f aca="false">IF(G9="","",ROW()-1)</f>
        <v>8</v>
      </c>
      <c r="B9" s="4"/>
      <c r="C9" s="5"/>
      <c r="D9" s="6" t="s">
        <v>40</v>
      </c>
      <c r="E9" s="6" t="s">
        <v>41</v>
      </c>
      <c r="F9" s="5" t="s">
        <v>18</v>
      </c>
      <c r="G9" s="7" t="n">
        <v>286800</v>
      </c>
      <c r="H9" s="8" t="n">
        <f aca="false">IF(G9="","",INDEX(환율!$B$2:$B$10,MATCH(F9,환율!$A$2:$A$10,0)))</f>
        <v>0.4</v>
      </c>
      <c r="I9" s="9" t="n">
        <f aca="false">IF(G9="","",G9*H9)</f>
        <v>114720</v>
      </c>
      <c r="J9" s="10" t="n">
        <f aca="false">IF(G9="","",I9/INDEX(환율!$B$2:$B$10,MATCH("USD",환율!$A$2:$A$10,0)))</f>
        <v>83.1304347826087</v>
      </c>
      <c r="K9" s="9" t="n">
        <f aca="false">IF(G9="","",I9/INDEX(환율!$B$2:$B$10,MATCH("MNT",환율!$A$2:$A$10,0)))</f>
        <v>286800</v>
      </c>
      <c r="L9" s="6" t="s">
        <v>19</v>
      </c>
      <c r="M9" s="6" t="s">
        <v>20</v>
      </c>
      <c r="N9" s="6" t="s">
        <v>21</v>
      </c>
      <c r="O9" s="6" t="s">
        <v>42</v>
      </c>
    </row>
    <row r="10" customFormat="false" ht="15" hidden="false" customHeight="false" outlineLevel="0" collapsed="false">
      <c r="A10" s="3" t="str">
        <f aca="false">IF(G10="","",ROW()-1)</f>
        <v/>
      </c>
      <c r="B10" s="4"/>
      <c r="C10" s="5"/>
      <c r="D10" s="5"/>
      <c r="E10" s="5"/>
      <c r="F10" s="5"/>
      <c r="G10" s="7"/>
      <c r="H10" s="8" t="str">
        <f aca="false">IF(G10="","",INDEX(환율!$B$2:$B$10,MATCH(F10,환율!$A$2:$A$10,0)))</f>
        <v/>
      </c>
      <c r="I10" s="9" t="str">
        <f aca="false">IF(G10="","",G10*H10)</f>
        <v/>
      </c>
      <c r="J10" s="10" t="str">
        <f aca="false">IF(G10="","",I10/INDEX(환율!$B$2:$B$10,MATCH("USD",환율!$A$2:$A$10,0)))</f>
        <v/>
      </c>
      <c r="K10" s="9" t="str">
        <f aca="false">IF(G10="","",I10/INDEX(환율!$B$2:$B$10,MATCH("MNT",환율!$A$2:$A$10,0)))</f>
        <v/>
      </c>
      <c r="L10" s="6"/>
      <c r="M10" s="6"/>
      <c r="N10" s="6"/>
      <c r="O10" s="5"/>
    </row>
    <row r="11" customFormat="false" ht="15" hidden="false" customHeight="false" outlineLevel="0" collapsed="false">
      <c r="A11" s="3" t="str">
        <f aca="false">IF(G11="","",ROW()-1)</f>
        <v/>
      </c>
      <c r="B11" s="4"/>
      <c r="C11" s="5"/>
      <c r="D11" s="5"/>
      <c r="E11" s="5"/>
      <c r="F11" s="5"/>
      <c r="G11" s="7"/>
      <c r="H11" s="8" t="str">
        <f aca="false">IF(G11="","",INDEX(환율!$B$2:$B$10,MATCH(F11,환율!$A$2:$A$10,0)))</f>
        <v/>
      </c>
      <c r="I11" s="9" t="str">
        <f aca="false">IF(G11="","",G11*H11)</f>
        <v/>
      </c>
      <c r="J11" s="10" t="str">
        <f aca="false">IF(G11="","",I11/INDEX(환율!$B$2:$B$10,MATCH("USD",환율!$A$2:$A$10,0)))</f>
        <v/>
      </c>
      <c r="K11" s="9" t="str">
        <f aca="false">IF(G11="","",I11/INDEX(환율!$B$2:$B$10,MATCH("MNT",환율!$A$2:$A$10,0)))</f>
        <v/>
      </c>
      <c r="L11" s="6"/>
      <c r="M11" s="6"/>
      <c r="N11" s="6"/>
      <c r="O11" s="5"/>
    </row>
    <row r="12" customFormat="false" ht="15" hidden="false" customHeight="false" outlineLevel="0" collapsed="false">
      <c r="A12" s="3" t="str">
        <f aca="false">IF(G12="","",ROW()-1)</f>
        <v/>
      </c>
      <c r="B12" s="4"/>
      <c r="C12" s="5"/>
      <c r="D12" s="5"/>
      <c r="E12" s="5"/>
      <c r="F12" s="5"/>
      <c r="G12" s="7"/>
      <c r="H12" s="8" t="str">
        <f aca="false">IF(G12="","",INDEX(환율!$B$2:$B$10,MATCH(F12,환율!$A$2:$A$10,0)))</f>
        <v/>
      </c>
      <c r="I12" s="9" t="str">
        <f aca="false">IF(G12="","",G12*H12)</f>
        <v/>
      </c>
      <c r="J12" s="10" t="str">
        <f aca="false">IF(G12="","",I12/INDEX(환율!$B$2:$B$10,MATCH("USD",환율!$A$2:$A$10,0)))</f>
        <v/>
      </c>
      <c r="K12" s="9" t="str">
        <f aca="false">IF(G12="","",I12/INDEX(환율!$B$2:$B$10,MATCH("MNT",환율!$A$2:$A$10,0)))</f>
        <v/>
      </c>
      <c r="L12" s="6"/>
      <c r="M12" s="6"/>
      <c r="N12" s="6"/>
      <c r="O12" s="5"/>
    </row>
    <row r="13" customFormat="false" ht="15" hidden="false" customHeight="false" outlineLevel="0" collapsed="false">
      <c r="A13" s="3" t="str">
        <f aca="false">IF(G13="","",ROW()-1)</f>
        <v/>
      </c>
      <c r="B13" s="4"/>
      <c r="C13" s="5"/>
      <c r="D13" s="5"/>
      <c r="E13" s="5"/>
      <c r="F13" s="5"/>
      <c r="G13" s="7"/>
      <c r="H13" s="8" t="str">
        <f aca="false">IF(G13="","",INDEX(환율!$B$2:$B$10,MATCH(F13,환율!$A$2:$A$10,0)))</f>
        <v/>
      </c>
      <c r="I13" s="9" t="str">
        <f aca="false">IF(G13="","",G13*H13)</f>
        <v/>
      </c>
      <c r="J13" s="10" t="str">
        <f aca="false">IF(G13="","",I13/INDEX(환율!$B$2:$B$10,MATCH("USD",환율!$A$2:$A$10,0)))</f>
        <v/>
      </c>
      <c r="K13" s="9" t="str">
        <f aca="false">IF(G13="","",I13/INDEX(환율!$B$2:$B$10,MATCH("MNT",환율!$A$2:$A$10,0)))</f>
        <v/>
      </c>
      <c r="L13" s="6"/>
      <c r="M13" s="6"/>
      <c r="N13" s="6"/>
      <c r="O13" s="5"/>
    </row>
    <row r="14" customFormat="false" ht="15" hidden="false" customHeight="false" outlineLevel="0" collapsed="false">
      <c r="A14" s="3" t="str">
        <f aca="false">IF(G14="","",ROW()-1)</f>
        <v/>
      </c>
      <c r="B14" s="4"/>
      <c r="C14" s="5"/>
      <c r="D14" s="5"/>
      <c r="E14" s="5"/>
      <c r="F14" s="5"/>
      <c r="G14" s="7"/>
      <c r="H14" s="8" t="str">
        <f aca="false">IF(G14="","",INDEX(환율!$B$2:$B$10,MATCH(F14,환율!$A$2:$A$10,0)))</f>
        <v/>
      </c>
      <c r="I14" s="9" t="str">
        <f aca="false">IF(G14="","",G14*H14)</f>
        <v/>
      </c>
      <c r="J14" s="10" t="str">
        <f aca="false">IF(G14="","",I14/INDEX(환율!$B$2:$B$10,MATCH("USD",환율!$A$2:$A$10,0)))</f>
        <v/>
      </c>
      <c r="K14" s="9" t="str">
        <f aca="false">IF(G14="","",I14/INDEX(환율!$B$2:$B$10,MATCH("MNT",환율!$A$2:$A$10,0)))</f>
        <v/>
      </c>
      <c r="L14" s="6"/>
      <c r="M14" s="6"/>
      <c r="N14" s="6"/>
      <c r="O14" s="5"/>
    </row>
    <row r="15" customFormat="false" ht="15" hidden="false" customHeight="false" outlineLevel="0" collapsed="false">
      <c r="A15" s="3" t="str">
        <f aca="false">IF(G15="","",ROW()-1)</f>
        <v/>
      </c>
      <c r="B15" s="4"/>
      <c r="C15" s="5"/>
      <c r="D15" s="5"/>
      <c r="E15" s="5"/>
      <c r="F15" s="5"/>
      <c r="G15" s="7"/>
      <c r="H15" s="8" t="str">
        <f aca="false">IF(G15="","",INDEX(환율!$B$2:$B$10,MATCH(F15,환율!$A$2:$A$10,0)))</f>
        <v/>
      </c>
      <c r="I15" s="9" t="str">
        <f aca="false">IF(G15="","",G15*H15)</f>
        <v/>
      </c>
      <c r="J15" s="10" t="str">
        <f aca="false">IF(G15="","",I15/INDEX(환율!$B$2:$B$10,MATCH("USD",환율!$A$2:$A$10,0)))</f>
        <v/>
      </c>
      <c r="K15" s="9" t="str">
        <f aca="false">IF(G15="","",I15/INDEX(환율!$B$2:$B$10,MATCH("MNT",환율!$A$2:$A$10,0)))</f>
        <v/>
      </c>
      <c r="L15" s="6"/>
      <c r="M15" s="6"/>
      <c r="N15" s="6"/>
      <c r="O15" s="5"/>
    </row>
    <row r="16" customFormat="false" ht="15" hidden="false" customHeight="false" outlineLevel="0" collapsed="false">
      <c r="A16" s="3" t="str">
        <f aca="false">IF(G16="","",ROW()-1)</f>
        <v/>
      </c>
      <c r="B16" s="4"/>
      <c r="C16" s="5"/>
      <c r="D16" s="5"/>
      <c r="E16" s="5"/>
      <c r="F16" s="5"/>
      <c r="G16" s="7"/>
      <c r="H16" s="8" t="str">
        <f aca="false">IF(G16="","",INDEX(환율!$B$2:$B$10,MATCH(F16,환율!$A$2:$A$10,0)))</f>
        <v/>
      </c>
      <c r="I16" s="9" t="str">
        <f aca="false">IF(G16="","",G16*H16)</f>
        <v/>
      </c>
      <c r="J16" s="10" t="str">
        <f aca="false">IF(G16="","",I16/INDEX(환율!$B$2:$B$10,MATCH("USD",환율!$A$2:$A$10,0)))</f>
        <v/>
      </c>
      <c r="K16" s="9" t="str">
        <f aca="false">IF(G16="","",I16/INDEX(환율!$B$2:$B$10,MATCH("MNT",환율!$A$2:$A$10,0)))</f>
        <v/>
      </c>
      <c r="L16" s="6"/>
      <c r="M16" s="6"/>
      <c r="N16" s="6"/>
      <c r="O16" s="5"/>
    </row>
    <row r="17" customFormat="false" ht="15" hidden="false" customHeight="false" outlineLevel="0" collapsed="false">
      <c r="A17" s="3" t="str">
        <f aca="false">IF(G17="","",ROW()-1)</f>
        <v/>
      </c>
      <c r="B17" s="4"/>
      <c r="C17" s="5"/>
      <c r="D17" s="5"/>
      <c r="E17" s="5"/>
      <c r="F17" s="5"/>
      <c r="G17" s="7"/>
      <c r="H17" s="8" t="str">
        <f aca="false">IF(G17="","",INDEX(환율!$B$2:$B$10,MATCH(F17,환율!$A$2:$A$10,0)))</f>
        <v/>
      </c>
      <c r="I17" s="9" t="str">
        <f aca="false">IF(G17="","",G17*H17)</f>
        <v/>
      </c>
      <c r="J17" s="10" t="str">
        <f aca="false">IF(G17="","",I17/INDEX(환율!$B$2:$B$10,MATCH("USD",환율!$A$2:$A$10,0)))</f>
        <v/>
      </c>
      <c r="K17" s="9" t="str">
        <f aca="false">IF(G17="","",I17/INDEX(환율!$B$2:$B$10,MATCH("MNT",환율!$A$2:$A$10,0)))</f>
        <v/>
      </c>
      <c r="L17" s="6"/>
      <c r="M17" s="6"/>
      <c r="N17" s="6"/>
      <c r="O17" s="5"/>
    </row>
    <row r="18" customFormat="false" ht="15" hidden="false" customHeight="false" outlineLevel="0" collapsed="false">
      <c r="A18" s="3" t="str">
        <f aca="false">IF(G18="","",ROW()-1)</f>
        <v/>
      </c>
      <c r="B18" s="4"/>
      <c r="C18" s="5"/>
      <c r="D18" s="5"/>
      <c r="E18" s="5"/>
      <c r="F18" s="5"/>
      <c r="G18" s="7"/>
      <c r="H18" s="8" t="str">
        <f aca="false">IF(G18="","",INDEX(환율!$B$2:$B$10,MATCH(F18,환율!$A$2:$A$10,0)))</f>
        <v/>
      </c>
      <c r="I18" s="9" t="str">
        <f aca="false">IF(G18="","",G18*H18)</f>
        <v/>
      </c>
      <c r="J18" s="10" t="str">
        <f aca="false">IF(G18="","",I18/INDEX(환율!$B$2:$B$10,MATCH("USD",환율!$A$2:$A$10,0)))</f>
        <v/>
      </c>
      <c r="K18" s="9" t="str">
        <f aca="false">IF(G18="","",I18/INDEX(환율!$B$2:$B$10,MATCH("MNT",환율!$A$2:$A$10,0)))</f>
        <v/>
      </c>
      <c r="L18" s="6"/>
      <c r="M18" s="6"/>
      <c r="N18" s="6"/>
      <c r="O18" s="5"/>
    </row>
    <row r="19" customFormat="false" ht="15" hidden="false" customHeight="false" outlineLevel="0" collapsed="false">
      <c r="A19" s="3" t="str">
        <f aca="false">IF(G19="","",ROW()-1)</f>
        <v/>
      </c>
      <c r="B19" s="4"/>
      <c r="C19" s="5"/>
      <c r="D19" s="5"/>
      <c r="E19" s="5"/>
      <c r="F19" s="5"/>
      <c r="G19" s="7"/>
      <c r="H19" s="8" t="str">
        <f aca="false">IF(G19="","",INDEX(환율!$B$2:$B$10,MATCH(F19,환율!$A$2:$A$10,0)))</f>
        <v/>
      </c>
      <c r="I19" s="9" t="str">
        <f aca="false">IF(G19="","",G19*H19)</f>
        <v/>
      </c>
      <c r="J19" s="10" t="str">
        <f aca="false">IF(G19="","",I19/INDEX(환율!$B$2:$B$10,MATCH("USD",환율!$A$2:$A$10,0)))</f>
        <v/>
      </c>
      <c r="K19" s="9" t="str">
        <f aca="false">IF(G19="","",I19/INDEX(환율!$B$2:$B$10,MATCH("MNT",환율!$A$2:$A$10,0)))</f>
        <v/>
      </c>
      <c r="L19" s="6"/>
      <c r="M19" s="6"/>
      <c r="N19" s="6"/>
      <c r="O19" s="5"/>
    </row>
    <row r="20" customFormat="false" ht="15" hidden="false" customHeight="false" outlineLevel="0" collapsed="false">
      <c r="A20" s="3" t="str">
        <f aca="false">IF(G20="","",ROW()-1)</f>
        <v/>
      </c>
      <c r="B20" s="4"/>
      <c r="C20" s="5"/>
      <c r="D20" s="5"/>
      <c r="E20" s="5"/>
      <c r="F20" s="5"/>
      <c r="G20" s="7"/>
      <c r="H20" s="8" t="str">
        <f aca="false">IF(G20="","",INDEX(환율!$B$2:$B$10,MATCH(F20,환율!$A$2:$A$10,0)))</f>
        <v/>
      </c>
      <c r="I20" s="9" t="str">
        <f aca="false">IF(G20="","",G20*H20)</f>
        <v/>
      </c>
      <c r="J20" s="10" t="str">
        <f aca="false">IF(G20="","",I20/INDEX(환율!$B$2:$B$10,MATCH("USD",환율!$A$2:$A$10,0)))</f>
        <v/>
      </c>
      <c r="K20" s="9" t="str">
        <f aca="false">IF(G20="","",I20/INDEX(환율!$B$2:$B$10,MATCH("MNT",환율!$A$2:$A$10,0)))</f>
        <v/>
      </c>
      <c r="L20" s="6"/>
      <c r="M20" s="6"/>
      <c r="N20" s="6"/>
      <c r="O20" s="5"/>
    </row>
    <row r="21" customFormat="false" ht="15" hidden="false" customHeight="false" outlineLevel="0" collapsed="false">
      <c r="A21" s="3" t="str">
        <f aca="false">IF(G21="","",ROW()-1)</f>
        <v/>
      </c>
      <c r="B21" s="4"/>
      <c r="C21" s="5"/>
      <c r="D21" s="5"/>
      <c r="E21" s="5"/>
      <c r="F21" s="5"/>
      <c r="G21" s="7"/>
      <c r="H21" s="8" t="str">
        <f aca="false">IF(G21="","",INDEX(환율!$B$2:$B$10,MATCH(F21,환율!$A$2:$A$10,0)))</f>
        <v/>
      </c>
      <c r="I21" s="9" t="str">
        <f aca="false">IF(G21="","",G21*H21)</f>
        <v/>
      </c>
      <c r="J21" s="10" t="str">
        <f aca="false">IF(G21="","",I21/INDEX(환율!$B$2:$B$10,MATCH("USD",환율!$A$2:$A$10,0)))</f>
        <v/>
      </c>
      <c r="K21" s="9" t="str">
        <f aca="false">IF(G21="","",I21/INDEX(환율!$B$2:$B$10,MATCH("MNT",환율!$A$2:$A$10,0)))</f>
        <v/>
      </c>
      <c r="L21" s="6"/>
      <c r="M21" s="6"/>
      <c r="N21" s="6"/>
      <c r="O21" s="5"/>
    </row>
    <row r="22" customFormat="false" ht="15" hidden="false" customHeight="false" outlineLevel="0" collapsed="false">
      <c r="A22" s="3" t="str">
        <f aca="false">IF(G22="","",ROW()-1)</f>
        <v/>
      </c>
      <c r="B22" s="4"/>
      <c r="C22" s="5"/>
      <c r="D22" s="5"/>
      <c r="E22" s="5"/>
      <c r="F22" s="5"/>
      <c r="G22" s="7"/>
      <c r="H22" s="8" t="str">
        <f aca="false">IF(G22="","",INDEX(환율!$B$2:$B$10,MATCH(F22,환율!$A$2:$A$10,0)))</f>
        <v/>
      </c>
      <c r="I22" s="9" t="str">
        <f aca="false">IF(G22="","",G22*H22)</f>
        <v/>
      </c>
      <c r="J22" s="10" t="str">
        <f aca="false">IF(G22="","",I22/INDEX(환율!$B$2:$B$10,MATCH("USD",환율!$A$2:$A$10,0)))</f>
        <v/>
      </c>
      <c r="K22" s="9" t="str">
        <f aca="false">IF(G22="","",I22/INDEX(환율!$B$2:$B$10,MATCH("MNT",환율!$A$2:$A$10,0)))</f>
        <v/>
      </c>
      <c r="L22" s="6"/>
      <c r="M22" s="6"/>
      <c r="N22" s="6"/>
      <c r="O22" s="5"/>
    </row>
    <row r="23" customFormat="false" ht="15" hidden="false" customHeight="false" outlineLevel="0" collapsed="false">
      <c r="A23" s="3" t="str">
        <f aca="false">IF(G23="","",ROW()-1)</f>
        <v/>
      </c>
      <c r="B23" s="4"/>
      <c r="C23" s="5"/>
      <c r="D23" s="5"/>
      <c r="E23" s="5"/>
      <c r="F23" s="5"/>
      <c r="G23" s="7"/>
      <c r="H23" s="8" t="str">
        <f aca="false">IF(G23="","",INDEX(환율!$B$2:$B$10,MATCH(F23,환율!$A$2:$A$10,0)))</f>
        <v/>
      </c>
      <c r="I23" s="9" t="str">
        <f aca="false">IF(G23="","",G23*H23)</f>
        <v/>
      </c>
      <c r="J23" s="10" t="str">
        <f aca="false">IF(G23="","",I23/INDEX(환율!$B$2:$B$10,MATCH("USD",환율!$A$2:$A$10,0)))</f>
        <v/>
      </c>
      <c r="K23" s="9" t="str">
        <f aca="false">IF(G23="","",I23/INDEX(환율!$B$2:$B$10,MATCH("MNT",환율!$A$2:$A$10,0)))</f>
        <v/>
      </c>
      <c r="L23" s="6"/>
      <c r="M23" s="6"/>
      <c r="N23" s="6"/>
      <c r="O23" s="5"/>
    </row>
    <row r="24" customFormat="false" ht="15" hidden="false" customHeight="false" outlineLevel="0" collapsed="false">
      <c r="A24" s="3" t="str">
        <f aca="false">IF(G24="","",ROW()-1)</f>
        <v/>
      </c>
      <c r="B24" s="4"/>
      <c r="C24" s="5"/>
      <c r="D24" s="5"/>
      <c r="E24" s="5"/>
      <c r="F24" s="5"/>
      <c r="G24" s="7"/>
      <c r="H24" s="8" t="str">
        <f aca="false">IF(G24="","",INDEX(환율!$B$2:$B$10,MATCH(F24,환율!$A$2:$A$10,0)))</f>
        <v/>
      </c>
      <c r="I24" s="9" t="str">
        <f aca="false">IF(G24="","",G24*H24)</f>
        <v/>
      </c>
      <c r="J24" s="10" t="str">
        <f aca="false">IF(G24="","",I24/INDEX(환율!$B$2:$B$10,MATCH("USD",환율!$A$2:$A$10,0)))</f>
        <v/>
      </c>
      <c r="K24" s="9" t="str">
        <f aca="false">IF(G24="","",I24/INDEX(환율!$B$2:$B$10,MATCH("MNT",환율!$A$2:$A$10,0)))</f>
        <v/>
      </c>
      <c r="L24" s="6"/>
      <c r="M24" s="6"/>
      <c r="N24" s="6"/>
      <c r="O24" s="5"/>
    </row>
    <row r="25" customFormat="false" ht="15" hidden="false" customHeight="false" outlineLevel="0" collapsed="false">
      <c r="A25" s="3" t="str">
        <f aca="false">IF(G25="","",ROW()-1)</f>
        <v/>
      </c>
      <c r="B25" s="4"/>
      <c r="C25" s="5"/>
      <c r="D25" s="5"/>
      <c r="E25" s="5"/>
      <c r="F25" s="5"/>
      <c r="G25" s="7"/>
      <c r="H25" s="8" t="str">
        <f aca="false">IF(G25="","",INDEX(환율!$B$2:$B$10,MATCH(F25,환율!$A$2:$A$10,0)))</f>
        <v/>
      </c>
      <c r="I25" s="9" t="str">
        <f aca="false">IF(G25="","",G25*H25)</f>
        <v/>
      </c>
      <c r="J25" s="10" t="str">
        <f aca="false">IF(G25="","",I25/INDEX(환율!$B$2:$B$10,MATCH("USD",환율!$A$2:$A$10,0)))</f>
        <v/>
      </c>
      <c r="K25" s="9" t="str">
        <f aca="false">IF(G25="","",I25/INDEX(환율!$B$2:$B$10,MATCH("MNT",환율!$A$2:$A$10,0)))</f>
        <v/>
      </c>
      <c r="L25" s="6"/>
      <c r="M25" s="6"/>
      <c r="N25" s="6"/>
      <c r="O25" s="5"/>
    </row>
    <row r="26" customFormat="false" ht="15" hidden="false" customHeight="false" outlineLevel="0" collapsed="false">
      <c r="A26" s="3" t="str">
        <f aca="false">IF(G26="","",ROW()-1)</f>
        <v/>
      </c>
      <c r="B26" s="4"/>
      <c r="C26" s="5"/>
      <c r="D26" s="5"/>
      <c r="E26" s="5"/>
      <c r="F26" s="5"/>
      <c r="G26" s="7"/>
      <c r="H26" s="8" t="str">
        <f aca="false">IF(G26="","",INDEX(환율!$B$2:$B$10,MATCH(F26,환율!$A$2:$A$10,0)))</f>
        <v/>
      </c>
      <c r="I26" s="9" t="str">
        <f aca="false">IF(G26="","",G26*H26)</f>
        <v/>
      </c>
      <c r="J26" s="10" t="str">
        <f aca="false">IF(G26="","",I26/INDEX(환율!$B$2:$B$10,MATCH("USD",환율!$A$2:$A$10,0)))</f>
        <v/>
      </c>
      <c r="K26" s="9" t="str">
        <f aca="false">IF(G26="","",I26/INDEX(환율!$B$2:$B$10,MATCH("MNT",환율!$A$2:$A$10,0)))</f>
        <v/>
      </c>
      <c r="L26" s="6"/>
      <c r="M26" s="6"/>
      <c r="N26" s="6"/>
      <c r="O26" s="5"/>
    </row>
    <row r="27" customFormat="false" ht="15" hidden="false" customHeight="false" outlineLevel="0" collapsed="false">
      <c r="A27" s="3" t="str">
        <f aca="false">IF(G27="","",ROW()-1)</f>
        <v/>
      </c>
      <c r="B27" s="4"/>
      <c r="C27" s="5"/>
      <c r="D27" s="5"/>
      <c r="E27" s="5"/>
      <c r="F27" s="5"/>
      <c r="G27" s="7"/>
      <c r="H27" s="8" t="str">
        <f aca="false">IF(G27="","",INDEX(환율!$B$2:$B$10,MATCH(F27,환율!$A$2:$A$10,0)))</f>
        <v/>
      </c>
      <c r="I27" s="9" t="str">
        <f aca="false">IF(G27="","",G27*H27)</f>
        <v/>
      </c>
      <c r="J27" s="10" t="str">
        <f aca="false">IF(G27="","",I27/INDEX(환율!$B$2:$B$10,MATCH("USD",환율!$A$2:$A$10,0)))</f>
        <v/>
      </c>
      <c r="K27" s="9" t="str">
        <f aca="false">IF(G27="","",I27/INDEX(환율!$B$2:$B$10,MATCH("MNT",환율!$A$2:$A$10,0)))</f>
        <v/>
      </c>
      <c r="L27" s="6"/>
      <c r="M27" s="6"/>
      <c r="N27" s="6"/>
      <c r="O27" s="5"/>
    </row>
    <row r="28" customFormat="false" ht="15" hidden="false" customHeight="false" outlineLevel="0" collapsed="false">
      <c r="A28" s="3" t="str">
        <f aca="false">IF(G28="","",ROW()-1)</f>
        <v/>
      </c>
      <c r="B28" s="4"/>
      <c r="C28" s="5"/>
      <c r="D28" s="5"/>
      <c r="E28" s="5"/>
      <c r="F28" s="5"/>
      <c r="G28" s="7"/>
      <c r="H28" s="8" t="str">
        <f aca="false">IF(G28="","",INDEX(환율!$B$2:$B$10,MATCH(F28,환율!$A$2:$A$10,0)))</f>
        <v/>
      </c>
      <c r="I28" s="9" t="str">
        <f aca="false">IF(G28="","",G28*H28)</f>
        <v/>
      </c>
      <c r="J28" s="10" t="str">
        <f aca="false">IF(G28="","",I28/INDEX(환율!$B$2:$B$10,MATCH("USD",환율!$A$2:$A$10,0)))</f>
        <v/>
      </c>
      <c r="K28" s="9" t="str">
        <f aca="false">IF(G28="","",I28/INDEX(환율!$B$2:$B$10,MATCH("MNT",환율!$A$2:$A$10,0)))</f>
        <v/>
      </c>
      <c r="L28" s="6"/>
      <c r="M28" s="6"/>
      <c r="N28" s="6"/>
      <c r="O28" s="5"/>
    </row>
    <row r="29" customFormat="false" ht="15" hidden="false" customHeight="false" outlineLevel="0" collapsed="false">
      <c r="A29" s="3" t="str">
        <f aca="false">IF(G29="","",ROW()-1)</f>
        <v/>
      </c>
      <c r="B29" s="4"/>
      <c r="C29" s="5"/>
      <c r="D29" s="5"/>
      <c r="E29" s="5"/>
      <c r="F29" s="5"/>
      <c r="G29" s="7"/>
      <c r="H29" s="8" t="str">
        <f aca="false">IF(G29="","",INDEX(환율!$B$2:$B$10,MATCH(F29,환율!$A$2:$A$10,0)))</f>
        <v/>
      </c>
      <c r="I29" s="9" t="str">
        <f aca="false">IF(G29="","",G29*H29)</f>
        <v/>
      </c>
      <c r="J29" s="10" t="str">
        <f aca="false">IF(G29="","",I29/INDEX(환율!$B$2:$B$10,MATCH("USD",환율!$A$2:$A$10,0)))</f>
        <v/>
      </c>
      <c r="K29" s="9" t="str">
        <f aca="false">IF(G29="","",I29/INDEX(환율!$B$2:$B$10,MATCH("MNT",환율!$A$2:$A$10,0)))</f>
        <v/>
      </c>
      <c r="L29" s="6"/>
      <c r="M29" s="6"/>
      <c r="N29" s="6"/>
      <c r="O29" s="5"/>
    </row>
    <row r="30" customFormat="false" ht="15" hidden="false" customHeight="false" outlineLevel="0" collapsed="false">
      <c r="A30" s="3" t="str">
        <f aca="false">IF(G30="","",ROW()-1)</f>
        <v/>
      </c>
      <c r="B30" s="4"/>
      <c r="C30" s="5"/>
      <c r="D30" s="5"/>
      <c r="E30" s="5"/>
      <c r="F30" s="5"/>
      <c r="G30" s="7"/>
      <c r="H30" s="8" t="str">
        <f aca="false">IF(G30="","",INDEX(환율!$B$2:$B$10,MATCH(F30,환율!$A$2:$A$10,0)))</f>
        <v/>
      </c>
      <c r="I30" s="9" t="str">
        <f aca="false">IF(G30="","",G30*H30)</f>
        <v/>
      </c>
      <c r="J30" s="10" t="str">
        <f aca="false">IF(G30="","",I30/INDEX(환율!$B$2:$B$10,MATCH("USD",환율!$A$2:$A$10,0)))</f>
        <v/>
      </c>
      <c r="K30" s="9" t="str">
        <f aca="false">IF(G30="","",I30/INDEX(환율!$B$2:$B$10,MATCH("MNT",환율!$A$2:$A$10,0)))</f>
        <v/>
      </c>
      <c r="L30" s="6"/>
      <c r="M30" s="6"/>
      <c r="N30" s="6"/>
      <c r="O30" s="5"/>
    </row>
    <row r="31" customFormat="false" ht="15" hidden="false" customHeight="false" outlineLevel="0" collapsed="false">
      <c r="A31" s="3" t="str">
        <f aca="false">IF(G31="","",ROW()-1)</f>
        <v/>
      </c>
      <c r="B31" s="4"/>
      <c r="C31" s="5"/>
      <c r="D31" s="5"/>
      <c r="E31" s="5"/>
      <c r="F31" s="5"/>
      <c r="G31" s="7"/>
      <c r="H31" s="8" t="str">
        <f aca="false">IF(G31="","",INDEX(환율!$B$2:$B$10,MATCH(F31,환율!$A$2:$A$10,0)))</f>
        <v/>
      </c>
      <c r="I31" s="9" t="str">
        <f aca="false">IF(G31="","",G31*H31)</f>
        <v/>
      </c>
      <c r="J31" s="10" t="str">
        <f aca="false">IF(G31="","",I31/INDEX(환율!$B$2:$B$10,MATCH("USD",환율!$A$2:$A$10,0)))</f>
        <v/>
      </c>
      <c r="K31" s="9" t="str">
        <f aca="false">IF(G31="","",I31/INDEX(환율!$B$2:$B$10,MATCH("MNT",환율!$A$2:$A$10,0)))</f>
        <v/>
      </c>
      <c r="L31" s="6"/>
      <c r="M31" s="6"/>
      <c r="N31" s="6"/>
      <c r="O31" s="5"/>
    </row>
    <row r="32" customFormat="false" ht="15" hidden="false" customHeight="false" outlineLevel="0" collapsed="false">
      <c r="A32" s="3" t="str">
        <f aca="false">IF(G32="","",ROW()-1)</f>
        <v/>
      </c>
      <c r="B32" s="4"/>
      <c r="C32" s="5"/>
      <c r="D32" s="5"/>
      <c r="E32" s="5"/>
      <c r="F32" s="5"/>
      <c r="G32" s="7"/>
      <c r="H32" s="8" t="str">
        <f aca="false">IF(G32="","",INDEX(환율!$B$2:$B$10,MATCH(F32,환율!$A$2:$A$10,0)))</f>
        <v/>
      </c>
      <c r="I32" s="9" t="str">
        <f aca="false">IF(G32="","",G32*H32)</f>
        <v/>
      </c>
      <c r="J32" s="10" t="str">
        <f aca="false">IF(G32="","",I32/INDEX(환율!$B$2:$B$10,MATCH("USD",환율!$A$2:$A$10,0)))</f>
        <v/>
      </c>
      <c r="K32" s="9" t="str">
        <f aca="false">IF(G32="","",I32/INDEX(환율!$B$2:$B$10,MATCH("MNT",환율!$A$2:$A$10,0)))</f>
        <v/>
      </c>
      <c r="L32" s="6"/>
      <c r="M32" s="6"/>
      <c r="N32" s="6"/>
      <c r="O32" s="5"/>
    </row>
    <row r="33" customFormat="false" ht="15" hidden="false" customHeight="false" outlineLevel="0" collapsed="false">
      <c r="A33" s="3" t="str">
        <f aca="false">IF(G33="","",ROW()-1)</f>
        <v/>
      </c>
      <c r="B33" s="4"/>
      <c r="C33" s="5"/>
      <c r="D33" s="5"/>
      <c r="E33" s="5"/>
      <c r="F33" s="5"/>
      <c r="G33" s="7"/>
      <c r="H33" s="8" t="str">
        <f aca="false">IF(G33="","",INDEX(환율!$B$2:$B$10,MATCH(F33,환율!$A$2:$A$10,0)))</f>
        <v/>
      </c>
      <c r="I33" s="9" t="str">
        <f aca="false">IF(G33="","",G33*H33)</f>
        <v/>
      </c>
      <c r="J33" s="10" t="str">
        <f aca="false">IF(G33="","",I33/INDEX(환율!$B$2:$B$10,MATCH("USD",환율!$A$2:$A$10,0)))</f>
        <v/>
      </c>
      <c r="K33" s="9" t="str">
        <f aca="false">IF(G33="","",I33/INDEX(환율!$B$2:$B$10,MATCH("MNT",환율!$A$2:$A$10,0)))</f>
        <v/>
      </c>
      <c r="L33" s="6"/>
      <c r="M33" s="6"/>
      <c r="N33" s="6"/>
      <c r="O33" s="5"/>
    </row>
    <row r="34" customFormat="false" ht="15" hidden="false" customHeight="false" outlineLevel="0" collapsed="false">
      <c r="A34" s="3" t="str">
        <f aca="false">IF(G34="","",ROW()-1)</f>
        <v/>
      </c>
      <c r="B34" s="4"/>
      <c r="C34" s="5"/>
      <c r="D34" s="5"/>
      <c r="E34" s="5"/>
      <c r="F34" s="5"/>
      <c r="G34" s="7"/>
      <c r="H34" s="8" t="str">
        <f aca="false">IF(G34="","",INDEX(환율!$B$2:$B$10,MATCH(F34,환율!$A$2:$A$10,0)))</f>
        <v/>
      </c>
      <c r="I34" s="9" t="str">
        <f aca="false">IF(G34="","",G34*H34)</f>
        <v/>
      </c>
      <c r="J34" s="10" t="str">
        <f aca="false">IF(G34="","",I34/INDEX(환율!$B$2:$B$10,MATCH("USD",환율!$A$2:$A$10,0)))</f>
        <v/>
      </c>
      <c r="K34" s="9" t="str">
        <f aca="false">IF(G34="","",I34/INDEX(환율!$B$2:$B$10,MATCH("MNT",환율!$A$2:$A$10,0)))</f>
        <v/>
      </c>
      <c r="L34" s="6"/>
      <c r="M34" s="6"/>
      <c r="N34" s="6"/>
      <c r="O34" s="5"/>
    </row>
    <row r="35" customFormat="false" ht="15" hidden="false" customHeight="false" outlineLevel="0" collapsed="false">
      <c r="A35" s="3" t="str">
        <f aca="false">IF(G35="","",ROW()-1)</f>
        <v/>
      </c>
      <c r="B35" s="4"/>
      <c r="C35" s="5"/>
      <c r="D35" s="5"/>
      <c r="E35" s="5"/>
      <c r="F35" s="5"/>
      <c r="G35" s="7"/>
      <c r="H35" s="8" t="str">
        <f aca="false">IF(G35="","",INDEX(환율!$B$2:$B$10,MATCH(F35,환율!$A$2:$A$10,0)))</f>
        <v/>
      </c>
      <c r="I35" s="9" t="str">
        <f aca="false">IF(G35="","",G35*H35)</f>
        <v/>
      </c>
      <c r="J35" s="10" t="str">
        <f aca="false">IF(G35="","",I35/INDEX(환율!$B$2:$B$10,MATCH("USD",환율!$A$2:$A$10,0)))</f>
        <v/>
      </c>
      <c r="K35" s="9" t="str">
        <f aca="false">IF(G35="","",I35/INDEX(환율!$B$2:$B$10,MATCH("MNT",환율!$A$2:$A$10,0)))</f>
        <v/>
      </c>
      <c r="L35" s="6"/>
      <c r="M35" s="6"/>
      <c r="N35" s="6"/>
      <c r="O35" s="5"/>
    </row>
    <row r="36" customFormat="false" ht="15" hidden="false" customHeight="false" outlineLevel="0" collapsed="false">
      <c r="A36" s="3" t="str">
        <f aca="false">IF(G36="","",ROW()-1)</f>
        <v/>
      </c>
      <c r="B36" s="4"/>
      <c r="C36" s="5"/>
      <c r="D36" s="5"/>
      <c r="E36" s="5"/>
      <c r="F36" s="5"/>
      <c r="G36" s="7"/>
      <c r="H36" s="8" t="str">
        <f aca="false">IF(G36="","",INDEX(환율!$B$2:$B$10,MATCH(F36,환율!$A$2:$A$10,0)))</f>
        <v/>
      </c>
      <c r="I36" s="9" t="str">
        <f aca="false">IF(G36="","",G36*H36)</f>
        <v/>
      </c>
      <c r="J36" s="10" t="str">
        <f aca="false">IF(G36="","",I36/INDEX(환율!$B$2:$B$10,MATCH("USD",환율!$A$2:$A$10,0)))</f>
        <v/>
      </c>
      <c r="K36" s="9" t="str">
        <f aca="false">IF(G36="","",I36/INDEX(환율!$B$2:$B$10,MATCH("MNT",환율!$A$2:$A$10,0)))</f>
        <v/>
      </c>
      <c r="L36" s="6"/>
      <c r="M36" s="6"/>
      <c r="N36" s="6"/>
      <c r="O36" s="5"/>
    </row>
    <row r="37" customFormat="false" ht="15" hidden="false" customHeight="false" outlineLevel="0" collapsed="false">
      <c r="A37" s="3" t="str">
        <f aca="false">IF(G37="","",ROW()-1)</f>
        <v/>
      </c>
      <c r="B37" s="4"/>
      <c r="C37" s="5"/>
      <c r="D37" s="5"/>
      <c r="E37" s="5"/>
      <c r="F37" s="5"/>
      <c r="G37" s="7"/>
      <c r="H37" s="8" t="str">
        <f aca="false">IF(G37="","",INDEX(환율!$B$2:$B$10,MATCH(F37,환율!$A$2:$A$10,0)))</f>
        <v/>
      </c>
      <c r="I37" s="9" t="str">
        <f aca="false">IF(G37="","",G37*H37)</f>
        <v/>
      </c>
      <c r="J37" s="10" t="str">
        <f aca="false">IF(G37="","",I37/INDEX(환율!$B$2:$B$10,MATCH("USD",환율!$A$2:$A$10,0)))</f>
        <v/>
      </c>
      <c r="K37" s="9" t="str">
        <f aca="false">IF(G37="","",I37/INDEX(환율!$B$2:$B$10,MATCH("MNT",환율!$A$2:$A$10,0)))</f>
        <v/>
      </c>
      <c r="L37" s="6"/>
      <c r="M37" s="6"/>
      <c r="N37" s="6"/>
      <c r="O37" s="5"/>
    </row>
    <row r="38" customFormat="false" ht="15" hidden="false" customHeight="false" outlineLevel="0" collapsed="false">
      <c r="A38" s="3" t="str">
        <f aca="false">IF(G38="","",ROW()-1)</f>
        <v/>
      </c>
      <c r="B38" s="4"/>
      <c r="C38" s="5"/>
      <c r="D38" s="5"/>
      <c r="E38" s="5"/>
      <c r="F38" s="5"/>
      <c r="G38" s="7"/>
      <c r="H38" s="8" t="str">
        <f aca="false">IF(G38="","",INDEX(환율!$B$2:$B$10,MATCH(F38,환율!$A$2:$A$10,0)))</f>
        <v/>
      </c>
      <c r="I38" s="9" t="str">
        <f aca="false">IF(G38="","",G38*H38)</f>
        <v/>
      </c>
      <c r="J38" s="10" t="str">
        <f aca="false">IF(G38="","",I38/INDEX(환율!$B$2:$B$10,MATCH("USD",환율!$A$2:$A$10,0)))</f>
        <v/>
      </c>
      <c r="K38" s="9" t="str">
        <f aca="false">IF(G38="","",I38/INDEX(환율!$B$2:$B$10,MATCH("MNT",환율!$A$2:$A$10,0)))</f>
        <v/>
      </c>
      <c r="L38" s="6"/>
      <c r="M38" s="6"/>
      <c r="N38" s="6"/>
      <c r="O38" s="5"/>
    </row>
    <row r="39" customFormat="false" ht="15" hidden="false" customHeight="false" outlineLevel="0" collapsed="false">
      <c r="A39" s="3" t="str">
        <f aca="false">IF(G39="","",ROW()-1)</f>
        <v/>
      </c>
      <c r="B39" s="4"/>
      <c r="C39" s="5"/>
      <c r="D39" s="5"/>
      <c r="E39" s="5"/>
      <c r="F39" s="5"/>
      <c r="G39" s="7"/>
      <c r="H39" s="8" t="str">
        <f aca="false">IF(G39="","",INDEX(환율!$B$2:$B$10,MATCH(F39,환율!$A$2:$A$10,0)))</f>
        <v/>
      </c>
      <c r="I39" s="9" t="str">
        <f aca="false">IF(G39="","",G39*H39)</f>
        <v/>
      </c>
      <c r="J39" s="10" t="str">
        <f aca="false">IF(G39="","",I39/INDEX(환율!$B$2:$B$10,MATCH("USD",환율!$A$2:$A$10,0)))</f>
        <v/>
      </c>
      <c r="K39" s="9" t="str">
        <f aca="false">IF(G39="","",I39/INDEX(환율!$B$2:$B$10,MATCH("MNT",환율!$A$2:$A$10,0)))</f>
        <v/>
      </c>
      <c r="L39" s="6"/>
      <c r="M39" s="6"/>
      <c r="N39" s="6"/>
      <c r="O39" s="5"/>
    </row>
    <row r="40" customFormat="false" ht="15" hidden="false" customHeight="false" outlineLevel="0" collapsed="false">
      <c r="A40" s="3" t="str">
        <f aca="false">IF(G40="","",ROW()-1)</f>
        <v/>
      </c>
      <c r="B40" s="4"/>
      <c r="C40" s="5"/>
      <c r="D40" s="5"/>
      <c r="E40" s="5"/>
      <c r="F40" s="5"/>
      <c r="G40" s="7"/>
      <c r="H40" s="8" t="str">
        <f aca="false">IF(G40="","",INDEX(환율!$B$2:$B$10,MATCH(F40,환율!$A$2:$A$10,0)))</f>
        <v/>
      </c>
      <c r="I40" s="9" t="str">
        <f aca="false">IF(G40="","",G40*H40)</f>
        <v/>
      </c>
      <c r="J40" s="10" t="str">
        <f aca="false">IF(G40="","",I40/INDEX(환율!$B$2:$B$10,MATCH("USD",환율!$A$2:$A$10,0)))</f>
        <v/>
      </c>
      <c r="K40" s="9" t="str">
        <f aca="false">IF(G40="","",I40/INDEX(환율!$B$2:$B$10,MATCH("MNT",환율!$A$2:$A$10,0)))</f>
        <v/>
      </c>
      <c r="L40" s="6"/>
      <c r="M40" s="6"/>
      <c r="N40" s="6"/>
      <c r="O40" s="5"/>
    </row>
    <row r="41" customFormat="false" ht="15" hidden="false" customHeight="false" outlineLevel="0" collapsed="false">
      <c r="A41" s="3" t="str">
        <f aca="false">IF(G41="","",ROW()-1)</f>
        <v/>
      </c>
      <c r="B41" s="4"/>
      <c r="C41" s="5"/>
      <c r="D41" s="5"/>
      <c r="E41" s="5"/>
      <c r="F41" s="5"/>
      <c r="G41" s="7"/>
      <c r="H41" s="8" t="str">
        <f aca="false">IF(G41="","",INDEX(환율!$B$2:$B$10,MATCH(F41,환율!$A$2:$A$10,0)))</f>
        <v/>
      </c>
      <c r="I41" s="9" t="str">
        <f aca="false">IF(G41="","",G41*H41)</f>
        <v/>
      </c>
      <c r="J41" s="10" t="str">
        <f aca="false">IF(G41="","",I41/INDEX(환율!$B$2:$B$10,MATCH("USD",환율!$A$2:$A$10,0)))</f>
        <v/>
      </c>
      <c r="K41" s="9" t="str">
        <f aca="false">IF(G41="","",I41/INDEX(환율!$B$2:$B$10,MATCH("MNT",환율!$A$2:$A$10,0)))</f>
        <v/>
      </c>
      <c r="L41" s="6"/>
      <c r="M41" s="6"/>
      <c r="N41" s="6"/>
      <c r="O41" s="5"/>
    </row>
    <row r="42" customFormat="false" ht="15" hidden="false" customHeight="false" outlineLevel="0" collapsed="false">
      <c r="A42" s="3" t="str">
        <f aca="false">IF(G42="","",ROW()-1)</f>
        <v/>
      </c>
      <c r="B42" s="4"/>
      <c r="C42" s="5"/>
      <c r="D42" s="5"/>
      <c r="E42" s="5"/>
      <c r="F42" s="5"/>
      <c r="G42" s="7"/>
      <c r="H42" s="8" t="str">
        <f aca="false">IF(G42="","",INDEX(환율!$B$2:$B$10,MATCH(F42,환율!$A$2:$A$10,0)))</f>
        <v/>
      </c>
      <c r="I42" s="9" t="str">
        <f aca="false">IF(G42="","",G42*H42)</f>
        <v/>
      </c>
      <c r="J42" s="10" t="str">
        <f aca="false">IF(G42="","",I42/INDEX(환율!$B$2:$B$10,MATCH("USD",환율!$A$2:$A$10,0)))</f>
        <v/>
      </c>
      <c r="K42" s="9" t="str">
        <f aca="false">IF(G42="","",I42/INDEX(환율!$B$2:$B$10,MATCH("MNT",환율!$A$2:$A$10,0)))</f>
        <v/>
      </c>
      <c r="L42" s="6"/>
      <c r="M42" s="6"/>
      <c r="N42" s="6"/>
      <c r="O42" s="5"/>
    </row>
    <row r="43" customFormat="false" ht="15" hidden="false" customHeight="false" outlineLevel="0" collapsed="false">
      <c r="A43" s="3" t="str">
        <f aca="false">IF(G43="","",ROW()-1)</f>
        <v/>
      </c>
      <c r="B43" s="4"/>
      <c r="C43" s="5"/>
      <c r="D43" s="5"/>
      <c r="E43" s="5"/>
      <c r="F43" s="5"/>
      <c r="G43" s="7"/>
      <c r="H43" s="8" t="str">
        <f aca="false">IF(G43="","",INDEX(환율!$B$2:$B$10,MATCH(F43,환율!$A$2:$A$10,0)))</f>
        <v/>
      </c>
      <c r="I43" s="9" t="str">
        <f aca="false">IF(G43="","",G43*H43)</f>
        <v/>
      </c>
      <c r="J43" s="10" t="str">
        <f aca="false">IF(G43="","",I43/INDEX(환율!$B$2:$B$10,MATCH("USD",환율!$A$2:$A$10,0)))</f>
        <v/>
      </c>
      <c r="K43" s="9" t="str">
        <f aca="false">IF(G43="","",I43/INDEX(환율!$B$2:$B$10,MATCH("MNT",환율!$A$2:$A$10,0)))</f>
        <v/>
      </c>
      <c r="L43" s="6"/>
      <c r="M43" s="6"/>
      <c r="N43" s="6"/>
      <c r="O43" s="5"/>
    </row>
    <row r="44" customFormat="false" ht="15" hidden="false" customHeight="false" outlineLevel="0" collapsed="false">
      <c r="A44" s="3" t="str">
        <f aca="false">IF(G44="","",ROW()-1)</f>
        <v/>
      </c>
      <c r="B44" s="4"/>
      <c r="C44" s="5"/>
      <c r="D44" s="5"/>
      <c r="E44" s="5"/>
      <c r="F44" s="5"/>
      <c r="G44" s="7"/>
      <c r="H44" s="8" t="str">
        <f aca="false">IF(G44="","",INDEX(환율!$B$2:$B$10,MATCH(F44,환율!$A$2:$A$10,0)))</f>
        <v/>
      </c>
      <c r="I44" s="9" t="str">
        <f aca="false">IF(G44="","",G44*H44)</f>
        <v/>
      </c>
      <c r="J44" s="10" t="str">
        <f aca="false">IF(G44="","",I44/INDEX(환율!$B$2:$B$10,MATCH("USD",환율!$A$2:$A$10,0)))</f>
        <v/>
      </c>
      <c r="K44" s="9" t="str">
        <f aca="false">IF(G44="","",I44/INDEX(환율!$B$2:$B$10,MATCH("MNT",환율!$A$2:$A$10,0)))</f>
        <v/>
      </c>
      <c r="L44" s="6"/>
      <c r="M44" s="6"/>
      <c r="N44" s="6"/>
      <c r="O44" s="5"/>
    </row>
    <row r="45" customFormat="false" ht="15" hidden="false" customHeight="false" outlineLevel="0" collapsed="false">
      <c r="A45" s="3" t="str">
        <f aca="false">IF(G45="","",ROW()-1)</f>
        <v/>
      </c>
      <c r="B45" s="4"/>
      <c r="C45" s="5"/>
      <c r="D45" s="5"/>
      <c r="E45" s="5"/>
      <c r="F45" s="5"/>
      <c r="G45" s="7"/>
      <c r="H45" s="8" t="str">
        <f aca="false">IF(G45="","",INDEX(환율!$B$2:$B$10,MATCH(F45,환율!$A$2:$A$10,0)))</f>
        <v/>
      </c>
      <c r="I45" s="9" t="str">
        <f aca="false">IF(G45="","",G45*H45)</f>
        <v/>
      </c>
      <c r="J45" s="10" t="str">
        <f aca="false">IF(G45="","",I45/INDEX(환율!$B$2:$B$10,MATCH("USD",환율!$A$2:$A$10,0)))</f>
        <v/>
      </c>
      <c r="K45" s="9" t="str">
        <f aca="false">IF(G45="","",I45/INDEX(환율!$B$2:$B$10,MATCH("MNT",환율!$A$2:$A$10,0)))</f>
        <v/>
      </c>
      <c r="L45" s="6"/>
      <c r="M45" s="6"/>
      <c r="N45" s="6"/>
      <c r="O45" s="5"/>
    </row>
    <row r="46" customFormat="false" ht="15" hidden="false" customHeight="false" outlineLevel="0" collapsed="false">
      <c r="A46" s="3" t="str">
        <f aca="false">IF(G46="","",ROW()-1)</f>
        <v/>
      </c>
      <c r="B46" s="4"/>
      <c r="C46" s="5"/>
      <c r="D46" s="5"/>
      <c r="E46" s="5"/>
      <c r="F46" s="5"/>
      <c r="G46" s="7"/>
      <c r="H46" s="8" t="str">
        <f aca="false">IF(G46="","",INDEX(환율!$B$2:$B$10,MATCH(F46,환율!$A$2:$A$10,0)))</f>
        <v/>
      </c>
      <c r="I46" s="9" t="str">
        <f aca="false">IF(G46="","",G46*H46)</f>
        <v/>
      </c>
      <c r="J46" s="10" t="str">
        <f aca="false">IF(G46="","",I46/INDEX(환율!$B$2:$B$10,MATCH("USD",환율!$A$2:$A$10,0)))</f>
        <v/>
      </c>
      <c r="K46" s="9" t="str">
        <f aca="false">IF(G46="","",I46/INDEX(환율!$B$2:$B$10,MATCH("MNT",환율!$A$2:$A$10,0)))</f>
        <v/>
      </c>
      <c r="L46" s="6"/>
      <c r="M46" s="6"/>
      <c r="N46" s="6"/>
      <c r="O46" s="5"/>
    </row>
    <row r="47" customFormat="false" ht="15" hidden="false" customHeight="false" outlineLevel="0" collapsed="false">
      <c r="A47" s="3" t="str">
        <f aca="false">IF(G47="","",ROW()-1)</f>
        <v/>
      </c>
      <c r="B47" s="4"/>
      <c r="C47" s="5"/>
      <c r="D47" s="5"/>
      <c r="E47" s="5"/>
      <c r="F47" s="5"/>
      <c r="G47" s="7"/>
      <c r="H47" s="8" t="str">
        <f aca="false">IF(G47="","",INDEX(환율!$B$2:$B$10,MATCH(F47,환율!$A$2:$A$10,0)))</f>
        <v/>
      </c>
      <c r="I47" s="9" t="str">
        <f aca="false">IF(G47="","",G47*H47)</f>
        <v/>
      </c>
      <c r="J47" s="10" t="str">
        <f aca="false">IF(G47="","",I47/INDEX(환율!$B$2:$B$10,MATCH("USD",환율!$A$2:$A$10,0)))</f>
        <v/>
      </c>
      <c r="K47" s="9" t="str">
        <f aca="false">IF(G47="","",I47/INDEX(환율!$B$2:$B$10,MATCH("MNT",환율!$A$2:$A$10,0)))</f>
        <v/>
      </c>
      <c r="L47" s="6"/>
      <c r="M47" s="6"/>
      <c r="N47" s="6"/>
      <c r="O47" s="5"/>
    </row>
    <row r="48" customFormat="false" ht="15" hidden="false" customHeight="false" outlineLevel="0" collapsed="false">
      <c r="A48" s="3" t="str">
        <f aca="false">IF(G48="","",ROW()-1)</f>
        <v/>
      </c>
      <c r="B48" s="4"/>
      <c r="C48" s="5"/>
      <c r="D48" s="5"/>
      <c r="E48" s="5"/>
      <c r="F48" s="5"/>
      <c r="G48" s="7"/>
      <c r="H48" s="8" t="str">
        <f aca="false">IF(G48="","",INDEX(환율!$B$2:$B$10,MATCH(F48,환율!$A$2:$A$10,0)))</f>
        <v/>
      </c>
      <c r="I48" s="9" t="str">
        <f aca="false">IF(G48="","",G48*H48)</f>
        <v/>
      </c>
      <c r="J48" s="10" t="str">
        <f aca="false">IF(G48="","",I48/INDEX(환율!$B$2:$B$10,MATCH("USD",환율!$A$2:$A$10,0)))</f>
        <v/>
      </c>
      <c r="K48" s="9" t="str">
        <f aca="false">IF(G48="","",I48/INDEX(환율!$B$2:$B$10,MATCH("MNT",환율!$A$2:$A$10,0)))</f>
        <v/>
      </c>
      <c r="L48" s="6"/>
      <c r="M48" s="6"/>
      <c r="N48" s="6"/>
      <c r="O48" s="5"/>
    </row>
    <row r="49" customFormat="false" ht="15" hidden="false" customHeight="false" outlineLevel="0" collapsed="false">
      <c r="A49" s="3" t="str">
        <f aca="false">IF(G49="","",ROW()-1)</f>
        <v/>
      </c>
      <c r="B49" s="4"/>
      <c r="C49" s="5"/>
      <c r="D49" s="5"/>
      <c r="E49" s="5"/>
      <c r="F49" s="5"/>
      <c r="G49" s="7"/>
      <c r="H49" s="8" t="str">
        <f aca="false">IF(G49="","",INDEX(환율!$B$2:$B$10,MATCH(F49,환율!$A$2:$A$10,0)))</f>
        <v/>
      </c>
      <c r="I49" s="9" t="str">
        <f aca="false">IF(G49="","",G49*H49)</f>
        <v/>
      </c>
      <c r="J49" s="10" t="str">
        <f aca="false">IF(G49="","",I49/INDEX(환율!$B$2:$B$10,MATCH("USD",환율!$A$2:$A$10,0)))</f>
        <v/>
      </c>
      <c r="K49" s="9" t="str">
        <f aca="false">IF(G49="","",I49/INDEX(환율!$B$2:$B$10,MATCH("MNT",환율!$A$2:$A$10,0)))</f>
        <v/>
      </c>
      <c r="L49" s="6"/>
      <c r="M49" s="6"/>
      <c r="N49" s="6"/>
      <c r="O49" s="5"/>
    </row>
    <row r="50" customFormat="false" ht="15" hidden="false" customHeight="false" outlineLevel="0" collapsed="false">
      <c r="A50" s="3" t="str">
        <f aca="false">IF(G50="","",ROW()-1)</f>
        <v/>
      </c>
      <c r="B50" s="4"/>
      <c r="C50" s="5"/>
      <c r="D50" s="5"/>
      <c r="E50" s="5"/>
      <c r="F50" s="5"/>
      <c r="G50" s="7"/>
      <c r="H50" s="8" t="str">
        <f aca="false">IF(G50="","",INDEX(환율!$B$2:$B$10,MATCH(F50,환율!$A$2:$A$10,0)))</f>
        <v/>
      </c>
      <c r="I50" s="9" t="str">
        <f aca="false">IF(G50="","",G50*H50)</f>
        <v/>
      </c>
      <c r="J50" s="10" t="str">
        <f aca="false">IF(G50="","",I50/INDEX(환율!$B$2:$B$10,MATCH("USD",환율!$A$2:$A$10,0)))</f>
        <v/>
      </c>
      <c r="K50" s="9" t="str">
        <f aca="false">IF(G50="","",I50/INDEX(환율!$B$2:$B$10,MATCH("MNT",환율!$A$2:$A$10,0)))</f>
        <v/>
      </c>
      <c r="L50" s="6"/>
      <c r="M50" s="6"/>
      <c r="N50" s="6"/>
      <c r="O50" s="5"/>
    </row>
    <row r="51" customFormat="false" ht="15" hidden="false" customHeight="false" outlineLevel="0" collapsed="false">
      <c r="A51" s="3" t="str">
        <f aca="false">IF(G51="","",ROW()-1)</f>
        <v/>
      </c>
      <c r="B51" s="4"/>
      <c r="C51" s="5"/>
      <c r="D51" s="5"/>
      <c r="E51" s="5"/>
      <c r="F51" s="5"/>
      <c r="G51" s="7"/>
      <c r="H51" s="8" t="str">
        <f aca="false">IF(G51="","",INDEX(환율!$B$2:$B$10,MATCH(F51,환율!$A$2:$A$10,0)))</f>
        <v/>
      </c>
      <c r="I51" s="9" t="str">
        <f aca="false">IF(G51="","",G51*H51)</f>
        <v/>
      </c>
      <c r="J51" s="10" t="str">
        <f aca="false">IF(G51="","",I51/INDEX(환율!$B$2:$B$10,MATCH("USD",환율!$A$2:$A$10,0)))</f>
        <v/>
      </c>
      <c r="K51" s="9" t="str">
        <f aca="false">IF(G51="","",I51/INDEX(환율!$B$2:$B$10,MATCH("MNT",환율!$A$2:$A$10,0)))</f>
        <v/>
      </c>
      <c r="L51" s="6"/>
      <c r="M51" s="6"/>
      <c r="N51" s="6"/>
      <c r="O51" s="5"/>
    </row>
    <row r="52" customFormat="false" ht="15" hidden="false" customHeight="false" outlineLevel="0" collapsed="false">
      <c r="A52" s="3" t="str">
        <f aca="false">IF(G52="","",ROW()-1)</f>
        <v/>
      </c>
      <c r="B52" s="4"/>
      <c r="C52" s="5"/>
      <c r="D52" s="5"/>
      <c r="E52" s="5"/>
      <c r="F52" s="5"/>
      <c r="G52" s="7"/>
      <c r="H52" s="8" t="str">
        <f aca="false">IF(G52="","",INDEX(환율!$B$2:$B$10,MATCH(F52,환율!$A$2:$A$10,0)))</f>
        <v/>
      </c>
      <c r="I52" s="9" t="str">
        <f aca="false">IF(G52="","",G52*H52)</f>
        <v/>
      </c>
      <c r="J52" s="10" t="str">
        <f aca="false">IF(G52="","",I52/INDEX(환율!$B$2:$B$10,MATCH("USD",환율!$A$2:$A$10,0)))</f>
        <v/>
      </c>
      <c r="K52" s="9" t="str">
        <f aca="false">IF(G52="","",I52/INDEX(환율!$B$2:$B$10,MATCH("MNT",환율!$A$2:$A$10,0)))</f>
        <v/>
      </c>
      <c r="L52" s="6"/>
      <c r="M52" s="6"/>
      <c r="N52" s="6"/>
      <c r="O52" s="5"/>
    </row>
    <row r="53" customFormat="false" ht="15" hidden="false" customHeight="false" outlineLevel="0" collapsed="false">
      <c r="A53" s="3" t="str">
        <f aca="false">IF(G53="","",ROW()-1)</f>
        <v/>
      </c>
      <c r="B53" s="4"/>
      <c r="C53" s="5"/>
      <c r="D53" s="5"/>
      <c r="E53" s="5"/>
      <c r="F53" s="5"/>
      <c r="G53" s="7"/>
      <c r="H53" s="8" t="str">
        <f aca="false">IF(G53="","",INDEX(환율!$B$2:$B$10,MATCH(F53,환율!$A$2:$A$10,0)))</f>
        <v/>
      </c>
      <c r="I53" s="9" t="str">
        <f aca="false">IF(G53="","",G53*H53)</f>
        <v/>
      </c>
      <c r="J53" s="10" t="str">
        <f aca="false">IF(G53="","",I53/INDEX(환율!$B$2:$B$10,MATCH("USD",환율!$A$2:$A$10,0)))</f>
        <v/>
      </c>
      <c r="K53" s="9" t="str">
        <f aca="false">IF(G53="","",I53/INDEX(환율!$B$2:$B$10,MATCH("MNT",환율!$A$2:$A$10,0)))</f>
        <v/>
      </c>
      <c r="L53" s="6"/>
      <c r="M53" s="6"/>
      <c r="N53" s="6"/>
      <c r="O53" s="5"/>
    </row>
    <row r="54" customFormat="false" ht="15" hidden="false" customHeight="false" outlineLevel="0" collapsed="false">
      <c r="A54" s="3" t="str">
        <f aca="false">IF(G54="","",ROW()-1)</f>
        <v/>
      </c>
      <c r="B54" s="4"/>
      <c r="C54" s="5"/>
      <c r="D54" s="5"/>
      <c r="E54" s="5"/>
      <c r="F54" s="5"/>
      <c r="G54" s="7"/>
      <c r="H54" s="8" t="str">
        <f aca="false">IF(G54="","",INDEX(환율!$B$2:$B$10,MATCH(F54,환율!$A$2:$A$10,0)))</f>
        <v/>
      </c>
      <c r="I54" s="9" t="str">
        <f aca="false">IF(G54="","",G54*H54)</f>
        <v/>
      </c>
      <c r="J54" s="10" t="str">
        <f aca="false">IF(G54="","",I54/INDEX(환율!$B$2:$B$10,MATCH("USD",환율!$A$2:$A$10,0)))</f>
        <v/>
      </c>
      <c r="K54" s="9" t="str">
        <f aca="false">IF(G54="","",I54/INDEX(환율!$B$2:$B$10,MATCH("MNT",환율!$A$2:$A$10,0)))</f>
        <v/>
      </c>
      <c r="L54" s="6"/>
      <c r="M54" s="6"/>
      <c r="N54" s="6"/>
      <c r="O54" s="5"/>
    </row>
    <row r="55" customFormat="false" ht="15" hidden="false" customHeight="false" outlineLevel="0" collapsed="false">
      <c r="A55" s="3" t="str">
        <f aca="false">IF(G55="","",ROW()-1)</f>
        <v/>
      </c>
      <c r="B55" s="4"/>
      <c r="C55" s="5"/>
      <c r="D55" s="5"/>
      <c r="E55" s="5"/>
      <c r="F55" s="5"/>
      <c r="G55" s="7"/>
      <c r="H55" s="8" t="str">
        <f aca="false">IF(G55="","",INDEX(환율!$B$2:$B$10,MATCH(F55,환율!$A$2:$A$10,0)))</f>
        <v/>
      </c>
      <c r="I55" s="9" t="str">
        <f aca="false">IF(G55="","",G55*H55)</f>
        <v/>
      </c>
      <c r="J55" s="10" t="str">
        <f aca="false">IF(G55="","",I55/INDEX(환율!$B$2:$B$10,MATCH("USD",환율!$A$2:$A$10,0)))</f>
        <v/>
      </c>
      <c r="K55" s="9" t="str">
        <f aca="false">IF(G55="","",I55/INDEX(환율!$B$2:$B$10,MATCH("MNT",환율!$A$2:$A$10,0)))</f>
        <v/>
      </c>
      <c r="L55" s="6"/>
      <c r="M55" s="6"/>
      <c r="N55" s="6"/>
      <c r="O55" s="5"/>
    </row>
    <row r="56" customFormat="false" ht="15" hidden="false" customHeight="false" outlineLevel="0" collapsed="false">
      <c r="A56" s="3" t="str">
        <f aca="false">IF(G56="","",ROW()-1)</f>
        <v/>
      </c>
      <c r="B56" s="4"/>
      <c r="C56" s="5"/>
      <c r="D56" s="5"/>
      <c r="E56" s="5"/>
      <c r="F56" s="5"/>
      <c r="G56" s="7"/>
      <c r="H56" s="8" t="str">
        <f aca="false">IF(G56="","",INDEX(환율!$B$2:$B$10,MATCH(F56,환율!$A$2:$A$10,0)))</f>
        <v/>
      </c>
      <c r="I56" s="9" t="str">
        <f aca="false">IF(G56="","",G56*H56)</f>
        <v/>
      </c>
      <c r="J56" s="10" t="str">
        <f aca="false">IF(G56="","",I56/INDEX(환율!$B$2:$B$10,MATCH("USD",환율!$A$2:$A$10,0)))</f>
        <v/>
      </c>
      <c r="K56" s="9" t="str">
        <f aca="false">IF(G56="","",I56/INDEX(환율!$B$2:$B$10,MATCH("MNT",환율!$A$2:$A$10,0)))</f>
        <v/>
      </c>
      <c r="L56" s="6"/>
      <c r="M56" s="6"/>
      <c r="N56" s="6"/>
      <c r="O56" s="5"/>
    </row>
    <row r="57" customFormat="false" ht="15" hidden="false" customHeight="false" outlineLevel="0" collapsed="false">
      <c r="A57" s="3" t="str">
        <f aca="false">IF(G57="","",ROW()-1)</f>
        <v/>
      </c>
      <c r="B57" s="4"/>
      <c r="C57" s="5"/>
      <c r="D57" s="5"/>
      <c r="E57" s="5"/>
      <c r="F57" s="5"/>
      <c r="G57" s="7"/>
      <c r="H57" s="8" t="str">
        <f aca="false">IF(G57="","",INDEX(환율!$B$2:$B$10,MATCH(F57,환율!$A$2:$A$10,0)))</f>
        <v/>
      </c>
      <c r="I57" s="9" t="str">
        <f aca="false">IF(G57="","",G57*H57)</f>
        <v/>
      </c>
      <c r="J57" s="10" t="str">
        <f aca="false">IF(G57="","",I57/INDEX(환율!$B$2:$B$10,MATCH("USD",환율!$A$2:$A$10,0)))</f>
        <v/>
      </c>
      <c r="K57" s="9" t="str">
        <f aca="false">IF(G57="","",I57/INDEX(환율!$B$2:$B$10,MATCH("MNT",환율!$A$2:$A$10,0)))</f>
        <v/>
      </c>
      <c r="L57" s="6"/>
      <c r="M57" s="6"/>
      <c r="N57" s="6"/>
      <c r="O57" s="5"/>
    </row>
    <row r="58" customFormat="false" ht="15" hidden="false" customHeight="false" outlineLevel="0" collapsed="false">
      <c r="A58" s="3" t="str">
        <f aca="false">IF(G58="","",ROW()-1)</f>
        <v/>
      </c>
      <c r="B58" s="4"/>
      <c r="C58" s="5"/>
      <c r="D58" s="5"/>
      <c r="E58" s="5"/>
      <c r="F58" s="5"/>
      <c r="G58" s="7"/>
      <c r="H58" s="8" t="str">
        <f aca="false">IF(G58="","",INDEX(환율!$B$2:$B$10,MATCH(F58,환율!$A$2:$A$10,0)))</f>
        <v/>
      </c>
      <c r="I58" s="9" t="str">
        <f aca="false">IF(G58="","",G58*H58)</f>
        <v/>
      </c>
      <c r="J58" s="10" t="str">
        <f aca="false">IF(G58="","",I58/INDEX(환율!$B$2:$B$10,MATCH("USD",환율!$A$2:$A$10,0)))</f>
        <v/>
      </c>
      <c r="K58" s="9" t="str">
        <f aca="false">IF(G58="","",I58/INDEX(환율!$B$2:$B$10,MATCH("MNT",환율!$A$2:$A$10,0)))</f>
        <v/>
      </c>
      <c r="L58" s="6"/>
      <c r="M58" s="6"/>
      <c r="N58" s="6"/>
      <c r="O58" s="5"/>
    </row>
    <row r="59" customFormat="false" ht="15" hidden="false" customHeight="false" outlineLevel="0" collapsed="false">
      <c r="A59" s="3" t="str">
        <f aca="false">IF(G59="","",ROW()-1)</f>
        <v/>
      </c>
      <c r="B59" s="4"/>
      <c r="C59" s="5"/>
      <c r="D59" s="5"/>
      <c r="E59" s="5"/>
      <c r="F59" s="5"/>
      <c r="G59" s="7"/>
      <c r="H59" s="8" t="str">
        <f aca="false">IF(G59="","",INDEX(환율!$B$2:$B$10,MATCH(F59,환율!$A$2:$A$10,0)))</f>
        <v/>
      </c>
      <c r="I59" s="9" t="str">
        <f aca="false">IF(G59="","",G59*H59)</f>
        <v/>
      </c>
      <c r="J59" s="10" t="str">
        <f aca="false">IF(G59="","",I59/INDEX(환율!$B$2:$B$10,MATCH("USD",환율!$A$2:$A$10,0)))</f>
        <v/>
      </c>
      <c r="K59" s="9" t="str">
        <f aca="false">IF(G59="","",I59/INDEX(환율!$B$2:$B$10,MATCH("MNT",환율!$A$2:$A$10,0)))</f>
        <v/>
      </c>
      <c r="L59" s="6"/>
      <c r="M59" s="6"/>
      <c r="N59" s="6"/>
      <c r="O59" s="5"/>
    </row>
    <row r="60" customFormat="false" ht="15" hidden="false" customHeight="false" outlineLevel="0" collapsed="false">
      <c r="A60" s="3" t="str">
        <f aca="false">IF(G60="","",ROW()-1)</f>
        <v/>
      </c>
      <c r="B60" s="4"/>
      <c r="C60" s="5"/>
      <c r="D60" s="5"/>
      <c r="E60" s="5"/>
      <c r="F60" s="5"/>
      <c r="G60" s="7"/>
      <c r="H60" s="8" t="str">
        <f aca="false">IF(G60="","",INDEX(환율!$B$2:$B$10,MATCH(F60,환율!$A$2:$A$10,0)))</f>
        <v/>
      </c>
      <c r="I60" s="9" t="str">
        <f aca="false">IF(G60="","",G60*H60)</f>
        <v/>
      </c>
      <c r="J60" s="10" t="str">
        <f aca="false">IF(G60="","",I60/INDEX(환율!$B$2:$B$10,MATCH("USD",환율!$A$2:$A$10,0)))</f>
        <v/>
      </c>
      <c r="K60" s="9" t="str">
        <f aca="false">IF(G60="","",I60/INDEX(환율!$B$2:$B$10,MATCH("MNT",환율!$A$2:$A$10,0)))</f>
        <v/>
      </c>
      <c r="L60" s="6"/>
      <c r="M60" s="6"/>
      <c r="N60" s="6"/>
      <c r="O60" s="5"/>
    </row>
    <row r="61" customFormat="false" ht="15" hidden="false" customHeight="false" outlineLevel="0" collapsed="false">
      <c r="A61" s="3" t="str">
        <f aca="false">IF(G61="","",ROW()-1)</f>
        <v/>
      </c>
      <c r="B61" s="4"/>
      <c r="C61" s="5"/>
      <c r="D61" s="5"/>
      <c r="E61" s="5"/>
      <c r="F61" s="5"/>
      <c r="G61" s="7"/>
      <c r="H61" s="8" t="str">
        <f aca="false">IF(G61="","",INDEX(환율!$B$2:$B$10,MATCH(F61,환율!$A$2:$A$10,0)))</f>
        <v/>
      </c>
      <c r="I61" s="9" t="str">
        <f aca="false">IF(G61="","",G61*H61)</f>
        <v/>
      </c>
      <c r="J61" s="10" t="str">
        <f aca="false">IF(G61="","",I61/INDEX(환율!$B$2:$B$10,MATCH("USD",환율!$A$2:$A$10,0)))</f>
        <v/>
      </c>
      <c r="K61" s="9" t="str">
        <f aca="false">IF(G61="","",I61/INDEX(환율!$B$2:$B$10,MATCH("MNT",환율!$A$2:$A$10,0)))</f>
        <v/>
      </c>
      <c r="L61" s="6"/>
      <c r="M61" s="6"/>
      <c r="N61" s="6"/>
      <c r="O61" s="5"/>
    </row>
    <row r="62" customFormat="false" ht="15" hidden="false" customHeight="false" outlineLevel="0" collapsed="false">
      <c r="A62" s="3" t="str">
        <f aca="false">IF(G62="","",ROW()-1)</f>
        <v/>
      </c>
      <c r="B62" s="4"/>
      <c r="C62" s="5"/>
      <c r="D62" s="5"/>
      <c r="E62" s="5"/>
      <c r="F62" s="5"/>
      <c r="G62" s="7"/>
      <c r="H62" s="8" t="str">
        <f aca="false">IF(G62="","",INDEX(환율!$B$2:$B$10,MATCH(F62,환율!$A$2:$A$10,0)))</f>
        <v/>
      </c>
      <c r="I62" s="9" t="str">
        <f aca="false">IF(G62="","",G62*H62)</f>
        <v/>
      </c>
      <c r="J62" s="10" t="str">
        <f aca="false">IF(G62="","",I62/INDEX(환율!$B$2:$B$10,MATCH("USD",환율!$A$2:$A$10,0)))</f>
        <v/>
      </c>
      <c r="K62" s="9" t="str">
        <f aca="false">IF(G62="","",I62/INDEX(환율!$B$2:$B$10,MATCH("MNT",환율!$A$2:$A$10,0)))</f>
        <v/>
      </c>
      <c r="L62" s="6"/>
      <c r="M62" s="6"/>
      <c r="N62" s="6"/>
      <c r="O62" s="5"/>
    </row>
    <row r="63" customFormat="false" ht="15" hidden="false" customHeight="false" outlineLevel="0" collapsed="false">
      <c r="A63" s="3" t="str">
        <f aca="false">IF(G63="","",ROW()-1)</f>
        <v/>
      </c>
      <c r="B63" s="4"/>
      <c r="C63" s="5"/>
      <c r="D63" s="5"/>
      <c r="E63" s="5"/>
      <c r="F63" s="5"/>
      <c r="G63" s="7"/>
      <c r="H63" s="8" t="str">
        <f aca="false">IF(G63="","",INDEX(환율!$B$2:$B$10,MATCH(F63,환율!$A$2:$A$10,0)))</f>
        <v/>
      </c>
      <c r="I63" s="9" t="str">
        <f aca="false">IF(G63="","",G63*H63)</f>
        <v/>
      </c>
      <c r="J63" s="10" t="str">
        <f aca="false">IF(G63="","",I63/INDEX(환율!$B$2:$B$10,MATCH("USD",환율!$A$2:$A$10,0)))</f>
        <v/>
      </c>
      <c r="K63" s="9" t="str">
        <f aca="false">IF(G63="","",I63/INDEX(환율!$B$2:$B$10,MATCH("MNT",환율!$A$2:$A$10,0)))</f>
        <v/>
      </c>
      <c r="L63" s="6"/>
      <c r="M63" s="6"/>
      <c r="N63" s="6"/>
      <c r="O63" s="5"/>
    </row>
    <row r="64" customFormat="false" ht="15" hidden="false" customHeight="false" outlineLevel="0" collapsed="false">
      <c r="A64" s="3" t="str">
        <f aca="false">IF(G64="","",ROW()-1)</f>
        <v/>
      </c>
      <c r="B64" s="4"/>
      <c r="C64" s="5"/>
      <c r="D64" s="5"/>
      <c r="E64" s="5"/>
      <c r="F64" s="5"/>
      <c r="G64" s="7"/>
      <c r="H64" s="8" t="str">
        <f aca="false">IF(G64="","",INDEX(환율!$B$2:$B$10,MATCH(F64,환율!$A$2:$A$10,0)))</f>
        <v/>
      </c>
      <c r="I64" s="9" t="str">
        <f aca="false">IF(G64="","",G64*H64)</f>
        <v/>
      </c>
      <c r="J64" s="10" t="str">
        <f aca="false">IF(G64="","",I64/INDEX(환율!$B$2:$B$10,MATCH("USD",환율!$A$2:$A$10,0)))</f>
        <v/>
      </c>
      <c r="K64" s="9" t="str">
        <f aca="false">IF(G64="","",I64/INDEX(환율!$B$2:$B$10,MATCH("MNT",환율!$A$2:$A$10,0)))</f>
        <v/>
      </c>
      <c r="L64" s="6"/>
      <c r="M64" s="6"/>
      <c r="N64" s="6"/>
      <c r="O64" s="5"/>
    </row>
    <row r="65" customFormat="false" ht="15" hidden="false" customHeight="false" outlineLevel="0" collapsed="false">
      <c r="A65" s="3" t="str">
        <f aca="false">IF(G65="","",ROW()-1)</f>
        <v/>
      </c>
      <c r="B65" s="4"/>
      <c r="C65" s="5"/>
      <c r="D65" s="5"/>
      <c r="E65" s="5"/>
      <c r="F65" s="5"/>
      <c r="G65" s="7"/>
      <c r="H65" s="8" t="str">
        <f aca="false">IF(G65="","",INDEX(환율!$B$2:$B$10,MATCH(F65,환율!$A$2:$A$10,0)))</f>
        <v/>
      </c>
      <c r="I65" s="9" t="str">
        <f aca="false">IF(G65="","",G65*H65)</f>
        <v/>
      </c>
      <c r="J65" s="10" t="str">
        <f aca="false">IF(G65="","",I65/INDEX(환율!$B$2:$B$10,MATCH("USD",환율!$A$2:$A$10,0)))</f>
        <v/>
      </c>
      <c r="K65" s="9" t="str">
        <f aca="false">IF(G65="","",I65/INDEX(환율!$B$2:$B$10,MATCH("MNT",환율!$A$2:$A$10,0)))</f>
        <v/>
      </c>
      <c r="L65" s="6"/>
      <c r="M65" s="6"/>
      <c r="N65" s="6"/>
      <c r="O65" s="5"/>
    </row>
    <row r="66" customFormat="false" ht="15" hidden="false" customHeight="false" outlineLevel="0" collapsed="false">
      <c r="A66" s="3" t="str">
        <f aca="false">IF(G66="","",ROW()-1)</f>
        <v/>
      </c>
      <c r="B66" s="4"/>
      <c r="C66" s="5"/>
      <c r="D66" s="5"/>
      <c r="E66" s="5"/>
      <c r="F66" s="5"/>
      <c r="G66" s="7"/>
      <c r="H66" s="8" t="str">
        <f aca="false">IF(G66="","",INDEX(환율!$B$2:$B$10,MATCH(F66,환율!$A$2:$A$10,0)))</f>
        <v/>
      </c>
      <c r="I66" s="9" t="str">
        <f aca="false">IF(G66="","",G66*H66)</f>
        <v/>
      </c>
      <c r="J66" s="10" t="str">
        <f aca="false">IF(G66="","",I66/INDEX(환율!$B$2:$B$10,MATCH("USD",환율!$A$2:$A$10,0)))</f>
        <v/>
      </c>
      <c r="K66" s="9" t="str">
        <f aca="false">IF(G66="","",I66/INDEX(환율!$B$2:$B$10,MATCH("MNT",환율!$A$2:$A$10,0)))</f>
        <v/>
      </c>
      <c r="L66" s="6"/>
      <c r="M66" s="6"/>
      <c r="N66" s="6"/>
      <c r="O66" s="5"/>
    </row>
    <row r="67" customFormat="false" ht="15" hidden="false" customHeight="false" outlineLevel="0" collapsed="false">
      <c r="A67" s="3" t="str">
        <f aca="false">IF(G67="","",ROW()-1)</f>
        <v/>
      </c>
      <c r="B67" s="4"/>
      <c r="C67" s="5"/>
      <c r="D67" s="5"/>
      <c r="E67" s="5"/>
      <c r="F67" s="5"/>
      <c r="G67" s="7"/>
      <c r="H67" s="8" t="str">
        <f aca="false">IF(G67="","",INDEX(환율!$B$2:$B$10,MATCH(F67,환율!$A$2:$A$10,0)))</f>
        <v/>
      </c>
      <c r="I67" s="9" t="str">
        <f aca="false">IF(G67="","",G67*H67)</f>
        <v/>
      </c>
      <c r="J67" s="10" t="str">
        <f aca="false">IF(G67="","",I67/INDEX(환율!$B$2:$B$10,MATCH("USD",환율!$A$2:$A$10,0)))</f>
        <v/>
      </c>
      <c r="K67" s="9" t="str">
        <f aca="false">IF(G67="","",I67/INDEX(환율!$B$2:$B$10,MATCH("MNT",환율!$A$2:$A$10,0)))</f>
        <v/>
      </c>
      <c r="L67" s="6"/>
      <c r="M67" s="6"/>
      <c r="N67" s="6"/>
      <c r="O67" s="5"/>
    </row>
    <row r="68" customFormat="false" ht="15" hidden="false" customHeight="false" outlineLevel="0" collapsed="false">
      <c r="A68" s="3" t="str">
        <f aca="false">IF(G68="","",ROW()-1)</f>
        <v/>
      </c>
      <c r="B68" s="4"/>
      <c r="C68" s="5"/>
      <c r="D68" s="5"/>
      <c r="E68" s="5"/>
      <c r="F68" s="5"/>
      <c r="G68" s="7"/>
      <c r="H68" s="8" t="str">
        <f aca="false">IF(G68="","",INDEX(환율!$B$2:$B$10,MATCH(F68,환율!$A$2:$A$10,0)))</f>
        <v/>
      </c>
      <c r="I68" s="9" t="str">
        <f aca="false">IF(G68="","",G68*H68)</f>
        <v/>
      </c>
      <c r="J68" s="10" t="str">
        <f aca="false">IF(G68="","",I68/INDEX(환율!$B$2:$B$10,MATCH("USD",환율!$A$2:$A$10,0)))</f>
        <v/>
      </c>
      <c r="K68" s="9" t="str">
        <f aca="false">IF(G68="","",I68/INDEX(환율!$B$2:$B$10,MATCH("MNT",환율!$A$2:$A$10,0)))</f>
        <v/>
      </c>
      <c r="L68" s="6"/>
      <c r="M68" s="6"/>
      <c r="N68" s="6"/>
      <c r="O68" s="5"/>
    </row>
    <row r="69" customFormat="false" ht="15" hidden="false" customHeight="false" outlineLevel="0" collapsed="false">
      <c r="A69" s="3" t="str">
        <f aca="false">IF(G69="","",ROW()-1)</f>
        <v/>
      </c>
      <c r="B69" s="4"/>
      <c r="C69" s="5"/>
      <c r="D69" s="5"/>
      <c r="E69" s="5"/>
      <c r="F69" s="5"/>
      <c r="G69" s="7"/>
      <c r="H69" s="8" t="str">
        <f aca="false">IF(G69="","",INDEX(환율!$B$2:$B$10,MATCH(F69,환율!$A$2:$A$10,0)))</f>
        <v/>
      </c>
      <c r="I69" s="9" t="str">
        <f aca="false">IF(G69="","",G69*H69)</f>
        <v/>
      </c>
      <c r="J69" s="10" t="str">
        <f aca="false">IF(G69="","",I69/INDEX(환율!$B$2:$B$10,MATCH("USD",환율!$A$2:$A$10,0)))</f>
        <v/>
      </c>
      <c r="K69" s="9" t="str">
        <f aca="false">IF(G69="","",I69/INDEX(환율!$B$2:$B$10,MATCH("MNT",환율!$A$2:$A$10,0)))</f>
        <v/>
      </c>
      <c r="L69" s="6"/>
      <c r="M69" s="6"/>
      <c r="N69" s="6"/>
      <c r="O69" s="5"/>
    </row>
    <row r="70" customFormat="false" ht="15" hidden="false" customHeight="false" outlineLevel="0" collapsed="false">
      <c r="A70" s="3" t="str">
        <f aca="false">IF(G70="","",ROW()-1)</f>
        <v/>
      </c>
      <c r="B70" s="4"/>
      <c r="C70" s="5"/>
      <c r="D70" s="5"/>
      <c r="E70" s="5"/>
      <c r="F70" s="5"/>
      <c r="G70" s="7"/>
      <c r="H70" s="8" t="str">
        <f aca="false">IF(G70="","",INDEX(환율!$B$2:$B$10,MATCH(F70,환율!$A$2:$A$10,0)))</f>
        <v/>
      </c>
      <c r="I70" s="9" t="str">
        <f aca="false">IF(G70="","",G70*H70)</f>
        <v/>
      </c>
      <c r="J70" s="10" t="str">
        <f aca="false">IF(G70="","",I70/INDEX(환율!$B$2:$B$10,MATCH("USD",환율!$A$2:$A$10,0)))</f>
        <v/>
      </c>
      <c r="K70" s="9" t="str">
        <f aca="false">IF(G70="","",I70/INDEX(환율!$B$2:$B$10,MATCH("MNT",환율!$A$2:$A$10,0)))</f>
        <v/>
      </c>
      <c r="L70" s="6"/>
      <c r="M70" s="6"/>
      <c r="N70" s="6"/>
      <c r="O70" s="5"/>
    </row>
    <row r="71" customFormat="false" ht="15" hidden="false" customHeight="false" outlineLevel="0" collapsed="false">
      <c r="A71" s="3" t="str">
        <f aca="false">IF(G71="","",ROW()-1)</f>
        <v/>
      </c>
      <c r="B71" s="4"/>
      <c r="C71" s="5"/>
      <c r="D71" s="5"/>
      <c r="E71" s="5"/>
      <c r="F71" s="5"/>
      <c r="G71" s="7"/>
      <c r="H71" s="8" t="str">
        <f aca="false">IF(G71="","",INDEX(환율!$B$2:$B$10,MATCH(F71,환율!$A$2:$A$10,0)))</f>
        <v/>
      </c>
      <c r="I71" s="9" t="str">
        <f aca="false">IF(G71="","",G71*H71)</f>
        <v/>
      </c>
      <c r="J71" s="10" t="str">
        <f aca="false">IF(G71="","",I71/INDEX(환율!$B$2:$B$10,MATCH("USD",환율!$A$2:$A$10,0)))</f>
        <v/>
      </c>
      <c r="K71" s="9" t="str">
        <f aca="false">IF(G71="","",I71/INDEX(환율!$B$2:$B$10,MATCH("MNT",환율!$A$2:$A$10,0)))</f>
        <v/>
      </c>
      <c r="L71" s="6"/>
      <c r="M71" s="6"/>
      <c r="N71" s="6"/>
      <c r="O71" s="5"/>
    </row>
    <row r="72" customFormat="false" ht="15" hidden="false" customHeight="false" outlineLevel="0" collapsed="false">
      <c r="A72" s="3" t="str">
        <f aca="false">IF(G72="","",ROW()-1)</f>
        <v/>
      </c>
      <c r="B72" s="4"/>
      <c r="C72" s="5"/>
      <c r="D72" s="5"/>
      <c r="E72" s="5"/>
      <c r="F72" s="5"/>
      <c r="G72" s="7"/>
      <c r="H72" s="8" t="str">
        <f aca="false">IF(G72="","",INDEX(환율!$B$2:$B$10,MATCH(F72,환율!$A$2:$A$10,0)))</f>
        <v/>
      </c>
      <c r="I72" s="9" t="str">
        <f aca="false">IF(G72="","",G72*H72)</f>
        <v/>
      </c>
      <c r="J72" s="10" t="str">
        <f aca="false">IF(G72="","",I72/INDEX(환율!$B$2:$B$10,MATCH("USD",환율!$A$2:$A$10,0)))</f>
        <v/>
      </c>
      <c r="K72" s="9" t="str">
        <f aca="false">IF(G72="","",I72/INDEX(환율!$B$2:$B$10,MATCH("MNT",환율!$A$2:$A$10,0)))</f>
        <v/>
      </c>
      <c r="L72" s="6"/>
      <c r="M72" s="6"/>
      <c r="N72" s="6"/>
      <c r="O72" s="5"/>
    </row>
    <row r="73" customFormat="false" ht="15" hidden="false" customHeight="false" outlineLevel="0" collapsed="false">
      <c r="A73" s="3" t="str">
        <f aca="false">IF(G73="","",ROW()-1)</f>
        <v/>
      </c>
      <c r="B73" s="4"/>
      <c r="C73" s="5"/>
      <c r="D73" s="5"/>
      <c r="E73" s="5"/>
      <c r="F73" s="5"/>
      <c r="G73" s="7"/>
      <c r="H73" s="8" t="str">
        <f aca="false">IF(G73="","",INDEX(환율!$B$2:$B$10,MATCH(F73,환율!$A$2:$A$10,0)))</f>
        <v/>
      </c>
      <c r="I73" s="9" t="str">
        <f aca="false">IF(G73="","",G73*H73)</f>
        <v/>
      </c>
      <c r="J73" s="10" t="str">
        <f aca="false">IF(G73="","",I73/INDEX(환율!$B$2:$B$10,MATCH("USD",환율!$A$2:$A$10,0)))</f>
        <v/>
      </c>
      <c r="K73" s="9" t="str">
        <f aca="false">IF(G73="","",I73/INDEX(환율!$B$2:$B$10,MATCH("MNT",환율!$A$2:$A$10,0)))</f>
        <v/>
      </c>
      <c r="L73" s="6"/>
      <c r="M73" s="6"/>
      <c r="N73" s="6"/>
      <c r="O73" s="5"/>
    </row>
    <row r="74" customFormat="false" ht="15" hidden="false" customHeight="false" outlineLevel="0" collapsed="false">
      <c r="A74" s="3" t="str">
        <f aca="false">IF(G74="","",ROW()-1)</f>
        <v/>
      </c>
      <c r="B74" s="4"/>
      <c r="C74" s="5"/>
      <c r="D74" s="5"/>
      <c r="E74" s="5"/>
      <c r="F74" s="5"/>
      <c r="G74" s="7"/>
      <c r="H74" s="8" t="str">
        <f aca="false">IF(G74="","",INDEX(환율!$B$2:$B$10,MATCH(F74,환율!$A$2:$A$10,0)))</f>
        <v/>
      </c>
      <c r="I74" s="9" t="str">
        <f aca="false">IF(G74="","",G74*H74)</f>
        <v/>
      </c>
      <c r="J74" s="10" t="str">
        <f aca="false">IF(G74="","",I74/INDEX(환율!$B$2:$B$10,MATCH("USD",환율!$A$2:$A$10,0)))</f>
        <v/>
      </c>
      <c r="K74" s="9" t="str">
        <f aca="false">IF(G74="","",I74/INDEX(환율!$B$2:$B$10,MATCH("MNT",환율!$A$2:$A$10,0)))</f>
        <v/>
      </c>
      <c r="L74" s="6"/>
      <c r="M74" s="6"/>
      <c r="N74" s="6"/>
      <c r="O74" s="5"/>
    </row>
    <row r="75" customFormat="false" ht="15" hidden="false" customHeight="false" outlineLevel="0" collapsed="false">
      <c r="A75" s="3" t="str">
        <f aca="false">IF(G75="","",ROW()-1)</f>
        <v/>
      </c>
      <c r="B75" s="4"/>
      <c r="C75" s="5"/>
      <c r="D75" s="5"/>
      <c r="E75" s="5"/>
      <c r="F75" s="5"/>
      <c r="G75" s="7"/>
      <c r="H75" s="8" t="str">
        <f aca="false">IF(G75="","",INDEX(환율!$B$2:$B$10,MATCH(F75,환율!$A$2:$A$10,0)))</f>
        <v/>
      </c>
      <c r="I75" s="9" t="str">
        <f aca="false">IF(G75="","",G75*H75)</f>
        <v/>
      </c>
      <c r="J75" s="10" t="str">
        <f aca="false">IF(G75="","",I75/INDEX(환율!$B$2:$B$10,MATCH("USD",환율!$A$2:$A$10,0)))</f>
        <v/>
      </c>
      <c r="K75" s="9" t="str">
        <f aca="false">IF(G75="","",I75/INDEX(환율!$B$2:$B$10,MATCH("MNT",환율!$A$2:$A$10,0)))</f>
        <v/>
      </c>
      <c r="L75" s="6"/>
      <c r="M75" s="6"/>
      <c r="N75" s="6"/>
      <c r="O75" s="5"/>
    </row>
    <row r="76" customFormat="false" ht="15" hidden="false" customHeight="false" outlineLevel="0" collapsed="false">
      <c r="A76" s="3" t="str">
        <f aca="false">IF(G76="","",ROW()-1)</f>
        <v/>
      </c>
      <c r="B76" s="4"/>
      <c r="C76" s="5"/>
      <c r="D76" s="5"/>
      <c r="E76" s="5"/>
      <c r="F76" s="5"/>
      <c r="G76" s="7"/>
      <c r="H76" s="8" t="str">
        <f aca="false">IF(G76="","",INDEX(환율!$B$2:$B$10,MATCH(F76,환율!$A$2:$A$10,0)))</f>
        <v/>
      </c>
      <c r="I76" s="9" t="str">
        <f aca="false">IF(G76="","",G76*H76)</f>
        <v/>
      </c>
      <c r="J76" s="10" t="str">
        <f aca="false">IF(G76="","",I76/INDEX(환율!$B$2:$B$10,MATCH("USD",환율!$A$2:$A$10,0)))</f>
        <v/>
      </c>
      <c r="K76" s="9" t="str">
        <f aca="false">IF(G76="","",I76/INDEX(환율!$B$2:$B$10,MATCH("MNT",환율!$A$2:$A$10,0)))</f>
        <v/>
      </c>
      <c r="L76" s="6"/>
      <c r="M76" s="6"/>
      <c r="N76" s="6"/>
      <c r="O76" s="5"/>
    </row>
    <row r="77" customFormat="false" ht="15" hidden="false" customHeight="false" outlineLevel="0" collapsed="false">
      <c r="A77" s="3" t="str">
        <f aca="false">IF(G77="","",ROW()-1)</f>
        <v/>
      </c>
      <c r="B77" s="4"/>
      <c r="C77" s="5"/>
      <c r="D77" s="5"/>
      <c r="E77" s="5"/>
      <c r="F77" s="5"/>
      <c r="G77" s="7"/>
      <c r="H77" s="8" t="str">
        <f aca="false">IF(G77="","",INDEX(환율!$B$2:$B$10,MATCH(F77,환율!$A$2:$A$10,0)))</f>
        <v/>
      </c>
      <c r="I77" s="9" t="str">
        <f aca="false">IF(G77="","",G77*H77)</f>
        <v/>
      </c>
      <c r="J77" s="10" t="str">
        <f aca="false">IF(G77="","",I77/INDEX(환율!$B$2:$B$10,MATCH("USD",환율!$A$2:$A$10,0)))</f>
        <v/>
      </c>
      <c r="K77" s="9" t="str">
        <f aca="false">IF(G77="","",I77/INDEX(환율!$B$2:$B$10,MATCH("MNT",환율!$A$2:$A$10,0)))</f>
        <v/>
      </c>
      <c r="L77" s="6"/>
      <c r="M77" s="6"/>
      <c r="N77" s="6"/>
      <c r="O77" s="5"/>
    </row>
    <row r="78" customFormat="false" ht="15" hidden="false" customHeight="false" outlineLevel="0" collapsed="false">
      <c r="A78" s="3" t="str">
        <f aca="false">IF(G78="","",ROW()-1)</f>
        <v/>
      </c>
      <c r="B78" s="4"/>
      <c r="C78" s="5"/>
      <c r="D78" s="5"/>
      <c r="E78" s="5"/>
      <c r="F78" s="5"/>
      <c r="G78" s="7"/>
      <c r="H78" s="8" t="str">
        <f aca="false">IF(G78="","",INDEX(환율!$B$2:$B$10,MATCH(F78,환율!$A$2:$A$10,0)))</f>
        <v/>
      </c>
      <c r="I78" s="9" t="str">
        <f aca="false">IF(G78="","",G78*H78)</f>
        <v/>
      </c>
      <c r="J78" s="10" t="str">
        <f aca="false">IF(G78="","",I78/INDEX(환율!$B$2:$B$10,MATCH("USD",환율!$A$2:$A$10,0)))</f>
        <v/>
      </c>
      <c r="K78" s="9" t="str">
        <f aca="false">IF(G78="","",I78/INDEX(환율!$B$2:$B$10,MATCH("MNT",환율!$A$2:$A$10,0)))</f>
        <v/>
      </c>
      <c r="L78" s="6"/>
      <c r="M78" s="6"/>
      <c r="N78" s="6"/>
      <c r="O78" s="5"/>
    </row>
    <row r="79" customFormat="false" ht="15" hidden="false" customHeight="false" outlineLevel="0" collapsed="false">
      <c r="A79" s="3" t="str">
        <f aca="false">IF(G79="","",ROW()-1)</f>
        <v/>
      </c>
      <c r="B79" s="4"/>
      <c r="C79" s="5"/>
      <c r="D79" s="5"/>
      <c r="E79" s="5"/>
      <c r="F79" s="5"/>
      <c r="G79" s="7"/>
      <c r="H79" s="8" t="str">
        <f aca="false">IF(G79="","",INDEX(환율!$B$2:$B$10,MATCH(F79,환율!$A$2:$A$10,0)))</f>
        <v/>
      </c>
      <c r="I79" s="9" t="str">
        <f aca="false">IF(G79="","",G79*H79)</f>
        <v/>
      </c>
      <c r="J79" s="10" t="str">
        <f aca="false">IF(G79="","",I79/INDEX(환율!$B$2:$B$10,MATCH("USD",환율!$A$2:$A$10,0)))</f>
        <v/>
      </c>
      <c r="K79" s="9" t="str">
        <f aca="false">IF(G79="","",I79/INDEX(환율!$B$2:$B$10,MATCH("MNT",환율!$A$2:$A$10,0)))</f>
        <v/>
      </c>
      <c r="L79" s="6"/>
      <c r="M79" s="6"/>
      <c r="N79" s="6"/>
      <c r="O79" s="5"/>
    </row>
    <row r="80" customFormat="false" ht="15" hidden="false" customHeight="false" outlineLevel="0" collapsed="false">
      <c r="A80" s="3" t="str">
        <f aca="false">IF(G80="","",ROW()-1)</f>
        <v/>
      </c>
      <c r="B80" s="4"/>
      <c r="C80" s="5"/>
      <c r="D80" s="5"/>
      <c r="E80" s="5"/>
      <c r="F80" s="5"/>
      <c r="G80" s="7"/>
      <c r="H80" s="8" t="str">
        <f aca="false">IF(G80="","",INDEX(환율!$B$2:$B$10,MATCH(F80,환율!$A$2:$A$10,0)))</f>
        <v/>
      </c>
      <c r="I80" s="9" t="str">
        <f aca="false">IF(G80="","",G80*H80)</f>
        <v/>
      </c>
      <c r="J80" s="10" t="str">
        <f aca="false">IF(G80="","",I80/INDEX(환율!$B$2:$B$10,MATCH("USD",환율!$A$2:$A$10,0)))</f>
        <v/>
      </c>
      <c r="K80" s="9" t="str">
        <f aca="false">IF(G80="","",I80/INDEX(환율!$B$2:$B$10,MATCH("MNT",환율!$A$2:$A$10,0)))</f>
        <v/>
      </c>
      <c r="L80" s="6"/>
      <c r="M80" s="6"/>
      <c r="N80" s="6"/>
      <c r="O80" s="5"/>
    </row>
    <row r="81" customFormat="false" ht="15" hidden="false" customHeight="false" outlineLevel="0" collapsed="false">
      <c r="A81" s="3" t="str">
        <f aca="false">IF(G81="","",ROW()-1)</f>
        <v/>
      </c>
      <c r="B81" s="4"/>
      <c r="C81" s="5"/>
      <c r="D81" s="5"/>
      <c r="E81" s="5"/>
      <c r="F81" s="5"/>
      <c r="G81" s="7"/>
      <c r="H81" s="8" t="str">
        <f aca="false">IF(G81="","",INDEX(환율!$B$2:$B$10,MATCH(F81,환율!$A$2:$A$10,0)))</f>
        <v/>
      </c>
      <c r="I81" s="9" t="str">
        <f aca="false">IF(G81="","",G81*H81)</f>
        <v/>
      </c>
      <c r="J81" s="10" t="str">
        <f aca="false">IF(G81="","",I81/INDEX(환율!$B$2:$B$10,MATCH("USD",환율!$A$2:$A$10,0)))</f>
        <v/>
      </c>
      <c r="K81" s="9" t="str">
        <f aca="false">IF(G81="","",I81/INDEX(환율!$B$2:$B$10,MATCH("MNT",환율!$A$2:$A$10,0)))</f>
        <v/>
      </c>
      <c r="L81" s="6"/>
      <c r="M81" s="6"/>
      <c r="N81" s="6"/>
      <c r="O81" s="5"/>
    </row>
    <row r="82" customFormat="false" ht="15" hidden="false" customHeight="false" outlineLevel="0" collapsed="false">
      <c r="A82" s="3" t="str">
        <f aca="false">IF(G82="","",ROW()-1)</f>
        <v/>
      </c>
      <c r="B82" s="4"/>
      <c r="C82" s="5"/>
      <c r="D82" s="5"/>
      <c r="E82" s="5"/>
      <c r="F82" s="5"/>
      <c r="G82" s="7"/>
      <c r="H82" s="8" t="str">
        <f aca="false">IF(G82="","",INDEX(환율!$B$2:$B$10,MATCH(F82,환율!$A$2:$A$10,0)))</f>
        <v/>
      </c>
      <c r="I82" s="9" t="str">
        <f aca="false">IF(G82="","",G82*H82)</f>
        <v/>
      </c>
      <c r="J82" s="10" t="str">
        <f aca="false">IF(G82="","",I82/INDEX(환율!$B$2:$B$10,MATCH("USD",환율!$A$2:$A$10,0)))</f>
        <v/>
      </c>
      <c r="K82" s="9" t="str">
        <f aca="false">IF(G82="","",I82/INDEX(환율!$B$2:$B$10,MATCH("MNT",환율!$A$2:$A$10,0)))</f>
        <v/>
      </c>
      <c r="L82" s="6"/>
      <c r="M82" s="6"/>
      <c r="N82" s="6"/>
      <c r="O82" s="5"/>
    </row>
    <row r="83" customFormat="false" ht="15" hidden="false" customHeight="false" outlineLevel="0" collapsed="false">
      <c r="A83" s="3" t="str">
        <f aca="false">IF(G83="","",ROW()-1)</f>
        <v/>
      </c>
      <c r="B83" s="4"/>
      <c r="C83" s="5"/>
      <c r="D83" s="5"/>
      <c r="E83" s="5"/>
      <c r="F83" s="5"/>
      <c r="G83" s="7"/>
      <c r="H83" s="8" t="str">
        <f aca="false">IF(G83="","",INDEX(환율!$B$2:$B$10,MATCH(F83,환율!$A$2:$A$10,0)))</f>
        <v/>
      </c>
      <c r="I83" s="9" t="str">
        <f aca="false">IF(G83="","",G83*H83)</f>
        <v/>
      </c>
      <c r="J83" s="10" t="str">
        <f aca="false">IF(G83="","",I83/INDEX(환율!$B$2:$B$10,MATCH("USD",환율!$A$2:$A$10,0)))</f>
        <v/>
      </c>
      <c r="K83" s="9" t="str">
        <f aca="false">IF(G83="","",I83/INDEX(환율!$B$2:$B$10,MATCH("MNT",환율!$A$2:$A$10,0)))</f>
        <v/>
      </c>
      <c r="L83" s="6"/>
      <c r="M83" s="6"/>
      <c r="N83" s="6"/>
      <c r="O83" s="5"/>
    </row>
    <row r="84" customFormat="false" ht="15" hidden="false" customHeight="false" outlineLevel="0" collapsed="false">
      <c r="A84" s="3" t="str">
        <f aca="false">IF(G84="","",ROW()-1)</f>
        <v/>
      </c>
      <c r="B84" s="4"/>
      <c r="C84" s="5"/>
      <c r="D84" s="5"/>
      <c r="E84" s="5"/>
      <c r="F84" s="5"/>
      <c r="G84" s="7"/>
      <c r="H84" s="8" t="str">
        <f aca="false">IF(G84="","",INDEX(환율!$B$2:$B$10,MATCH(F84,환율!$A$2:$A$10,0)))</f>
        <v/>
      </c>
      <c r="I84" s="9" t="str">
        <f aca="false">IF(G84="","",G84*H84)</f>
        <v/>
      </c>
      <c r="J84" s="10" t="str">
        <f aca="false">IF(G84="","",I84/INDEX(환율!$B$2:$B$10,MATCH("USD",환율!$A$2:$A$10,0)))</f>
        <v/>
      </c>
      <c r="K84" s="9" t="str">
        <f aca="false">IF(G84="","",I84/INDEX(환율!$B$2:$B$10,MATCH("MNT",환율!$A$2:$A$10,0)))</f>
        <v/>
      </c>
      <c r="L84" s="6"/>
      <c r="M84" s="6"/>
      <c r="N84" s="6"/>
      <c r="O84" s="5"/>
    </row>
    <row r="85" customFormat="false" ht="15" hidden="false" customHeight="false" outlineLevel="0" collapsed="false">
      <c r="A85" s="3" t="str">
        <f aca="false">IF(G85="","",ROW()-1)</f>
        <v/>
      </c>
      <c r="B85" s="4"/>
      <c r="C85" s="5"/>
      <c r="D85" s="5"/>
      <c r="E85" s="5"/>
      <c r="F85" s="5"/>
      <c r="G85" s="7"/>
      <c r="H85" s="8" t="str">
        <f aca="false">IF(G85="","",INDEX(환율!$B$2:$B$10,MATCH(F85,환율!$A$2:$A$10,0)))</f>
        <v/>
      </c>
      <c r="I85" s="9" t="str">
        <f aca="false">IF(G85="","",G85*H85)</f>
        <v/>
      </c>
      <c r="J85" s="10" t="str">
        <f aca="false">IF(G85="","",I85/INDEX(환율!$B$2:$B$10,MATCH("USD",환율!$A$2:$A$10,0)))</f>
        <v/>
      </c>
      <c r="K85" s="9" t="str">
        <f aca="false">IF(G85="","",I85/INDEX(환율!$B$2:$B$10,MATCH("MNT",환율!$A$2:$A$10,0)))</f>
        <v/>
      </c>
      <c r="L85" s="6"/>
      <c r="M85" s="6"/>
      <c r="N85" s="6"/>
      <c r="O85" s="5"/>
    </row>
    <row r="86" customFormat="false" ht="15" hidden="false" customHeight="false" outlineLevel="0" collapsed="false">
      <c r="A86" s="3" t="str">
        <f aca="false">IF(G86="","",ROW()-1)</f>
        <v/>
      </c>
      <c r="B86" s="4"/>
      <c r="C86" s="5"/>
      <c r="D86" s="5"/>
      <c r="E86" s="5"/>
      <c r="F86" s="5"/>
      <c r="G86" s="7"/>
      <c r="H86" s="8" t="str">
        <f aca="false">IF(G86="","",INDEX(환율!$B$2:$B$10,MATCH(F86,환율!$A$2:$A$10,0)))</f>
        <v/>
      </c>
      <c r="I86" s="9" t="str">
        <f aca="false">IF(G86="","",G86*H86)</f>
        <v/>
      </c>
      <c r="J86" s="10" t="str">
        <f aca="false">IF(G86="","",I86/INDEX(환율!$B$2:$B$10,MATCH("USD",환율!$A$2:$A$10,0)))</f>
        <v/>
      </c>
      <c r="K86" s="9" t="str">
        <f aca="false">IF(G86="","",I86/INDEX(환율!$B$2:$B$10,MATCH("MNT",환율!$A$2:$A$10,0)))</f>
        <v/>
      </c>
      <c r="L86" s="6"/>
      <c r="M86" s="6"/>
      <c r="N86" s="6"/>
      <c r="O86" s="5"/>
    </row>
    <row r="87" customFormat="false" ht="15" hidden="false" customHeight="false" outlineLevel="0" collapsed="false">
      <c r="A87" s="3" t="str">
        <f aca="false">IF(G87="","",ROW()-1)</f>
        <v/>
      </c>
      <c r="B87" s="4"/>
      <c r="C87" s="5"/>
      <c r="D87" s="5"/>
      <c r="E87" s="5"/>
      <c r="F87" s="5"/>
      <c r="G87" s="7"/>
      <c r="H87" s="8" t="str">
        <f aca="false">IF(G87="","",INDEX(환율!$B$2:$B$10,MATCH(F87,환율!$A$2:$A$10,0)))</f>
        <v/>
      </c>
      <c r="I87" s="9" t="str">
        <f aca="false">IF(G87="","",G87*H87)</f>
        <v/>
      </c>
      <c r="J87" s="10" t="str">
        <f aca="false">IF(G87="","",I87/INDEX(환율!$B$2:$B$10,MATCH("USD",환율!$A$2:$A$10,0)))</f>
        <v/>
      </c>
      <c r="K87" s="9" t="str">
        <f aca="false">IF(G87="","",I87/INDEX(환율!$B$2:$B$10,MATCH("MNT",환율!$A$2:$A$10,0)))</f>
        <v/>
      </c>
      <c r="L87" s="6"/>
      <c r="M87" s="6"/>
      <c r="N87" s="6"/>
      <c r="O87" s="5"/>
    </row>
    <row r="88" customFormat="false" ht="15" hidden="false" customHeight="false" outlineLevel="0" collapsed="false">
      <c r="A88" s="3" t="str">
        <f aca="false">IF(G88="","",ROW()-1)</f>
        <v/>
      </c>
      <c r="B88" s="4"/>
      <c r="C88" s="5"/>
      <c r="D88" s="5"/>
      <c r="E88" s="5"/>
      <c r="F88" s="5"/>
      <c r="G88" s="7"/>
      <c r="H88" s="8" t="str">
        <f aca="false">IF(G88="","",INDEX(환율!$B$2:$B$10,MATCH(F88,환율!$A$2:$A$10,0)))</f>
        <v/>
      </c>
      <c r="I88" s="9" t="str">
        <f aca="false">IF(G88="","",G88*H88)</f>
        <v/>
      </c>
      <c r="J88" s="10" t="str">
        <f aca="false">IF(G88="","",I88/INDEX(환율!$B$2:$B$10,MATCH("USD",환율!$A$2:$A$10,0)))</f>
        <v/>
      </c>
      <c r="K88" s="9" t="str">
        <f aca="false">IF(G88="","",I88/INDEX(환율!$B$2:$B$10,MATCH("MNT",환율!$A$2:$A$10,0)))</f>
        <v/>
      </c>
      <c r="L88" s="6"/>
      <c r="M88" s="6"/>
      <c r="N88" s="6"/>
      <c r="O88" s="5"/>
    </row>
    <row r="89" customFormat="false" ht="15" hidden="false" customHeight="false" outlineLevel="0" collapsed="false">
      <c r="A89" s="3" t="str">
        <f aca="false">IF(G89="","",ROW()-1)</f>
        <v/>
      </c>
      <c r="B89" s="4"/>
      <c r="C89" s="5"/>
      <c r="D89" s="5"/>
      <c r="E89" s="5"/>
      <c r="F89" s="5"/>
      <c r="G89" s="7"/>
      <c r="H89" s="8" t="str">
        <f aca="false">IF(G89="","",INDEX(환율!$B$2:$B$10,MATCH(F89,환율!$A$2:$A$10,0)))</f>
        <v/>
      </c>
      <c r="I89" s="9" t="str">
        <f aca="false">IF(G89="","",G89*H89)</f>
        <v/>
      </c>
      <c r="J89" s="10" t="str">
        <f aca="false">IF(G89="","",I89/INDEX(환율!$B$2:$B$10,MATCH("USD",환율!$A$2:$A$10,0)))</f>
        <v/>
      </c>
      <c r="K89" s="9" t="str">
        <f aca="false">IF(G89="","",I89/INDEX(환율!$B$2:$B$10,MATCH("MNT",환율!$A$2:$A$10,0)))</f>
        <v/>
      </c>
      <c r="L89" s="6"/>
      <c r="M89" s="6"/>
      <c r="N89" s="6"/>
      <c r="O89" s="5"/>
    </row>
    <row r="90" customFormat="false" ht="15" hidden="false" customHeight="false" outlineLevel="0" collapsed="false">
      <c r="A90" s="3" t="str">
        <f aca="false">IF(G90="","",ROW()-1)</f>
        <v/>
      </c>
      <c r="B90" s="4"/>
      <c r="C90" s="5"/>
      <c r="D90" s="5"/>
      <c r="E90" s="5"/>
      <c r="F90" s="5"/>
      <c r="G90" s="7"/>
      <c r="H90" s="8" t="str">
        <f aca="false">IF(G90="","",INDEX(환율!$B$2:$B$10,MATCH(F90,환율!$A$2:$A$10,0)))</f>
        <v/>
      </c>
      <c r="I90" s="9" t="str">
        <f aca="false">IF(G90="","",G90*H90)</f>
        <v/>
      </c>
      <c r="J90" s="10" t="str">
        <f aca="false">IF(G90="","",I90/INDEX(환율!$B$2:$B$10,MATCH("USD",환율!$A$2:$A$10,0)))</f>
        <v/>
      </c>
      <c r="K90" s="9" t="str">
        <f aca="false">IF(G90="","",I90/INDEX(환율!$B$2:$B$10,MATCH("MNT",환율!$A$2:$A$10,0)))</f>
        <v/>
      </c>
      <c r="L90" s="6"/>
      <c r="M90" s="6"/>
      <c r="N90" s="6"/>
      <c r="O90" s="5"/>
    </row>
    <row r="91" customFormat="false" ht="15" hidden="false" customHeight="false" outlineLevel="0" collapsed="false">
      <c r="A91" s="3" t="str">
        <f aca="false">IF(G91="","",ROW()-1)</f>
        <v/>
      </c>
      <c r="B91" s="4"/>
      <c r="C91" s="5"/>
      <c r="D91" s="5"/>
      <c r="E91" s="5"/>
      <c r="F91" s="5"/>
      <c r="G91" s="7"/>
      <c r="H91" s="8" t="str">
        <f aca="false">IF(G91="","",INDEX(환율!$B$2:$B$10,MATCH(F91,환율!$A$2:$A$10,0)))</f>
        <v/>
      </c>
      <c r="I91" s="9" t="str">
        <f aca="false">IF(G91="","",G91*H91)</f>
        <v/>
      </c>
      <c r="J91" s="10" t="str">
        <f aca="false">IF(G91="","",I91/INDEX(환율!$B$2:$B$10,MATCH("USD",환율!$A$2:$A$10,0)))</f>
        <v/>
      </c>
      <c r="K91" s="9" t="str">
        <f aca="false">IF(G91="","",I91/INDEX(환율!$B$2:$B$10,MATCH("MNT",환율!$A$2:$A$10,0)))</f>
        <v/>
      </c>
      <c r="L91" s="6"/>
      <c r="M91" s="6"/>
      <c r="N91" s="6"/>
      <c r="O91" s="5"/>
    </row>
    <row r="92" customFormat="false" ht="15" hidden="false" customHeight="false" outlineLevel="0" collapsed="false">
      <c r="A92" s="3" t="str">
        <f aca="false">IF(G92="","",ROW()-1)</f>
        <v/>
      </c>
      <c r="B92" s="4"/>
      <c r="C92" s="5"/>
      <c r="D92" s="5"/>
      <c r="E92" s="5"/>
      <c r="F92" s="5"/>
      <c r="G92" s="7"/>
      <c r="H92" s="8" t="str">
        <f aca="false">IF(G92="","",INDEX(환율!$B$2:$B$10,MATCH(F92,환율!$A$2:$A$10,0)))</f>
        <v/>
      </c>
      <c r="I92" s="9" t="str">
        <f aca="false">IF(G92="","",G92*H92)</f>
        <v/>
      </c>
      <c r="J92" s="10" t="str">
        <f aca="false">IF(G92="","",I92/INDEX(환율!$B$2:$B$10,MATCH("USD",환율!$A$2:$A$10,0)))</f>
        <v/>
      </c>
      <c r="K92" s="9" t="str">
        <f aca="false">IF(G92="","",I92/INDEX(환율!$B$2:$B$10,MATCH("MNT",환율!$A$2:$A$10,0)))</f>
        <v/>
      </c>
      <c r="L92" s="6"/>
      <c r="M92" s="6"/>
      <c r="N92" s="6"/>
      <c r="O92" s="5"/>
    </row>
    <row r="93" customFormat="false" ht="15" hidden="false" customHeight="false" outlineLevel="0" collapsed="false">
      <c r="A93" s="3" t="str">
        <f aca="false">IF(G93="","",ROW()-1)</f>
        <v/>
      </c>
      <c r="B93" s="4"/>
      <c r="C93" s="5"/>
      <c r="D93" s="5"/>
      <c r="E93" s="5"/>
      <c r="F93" s="5"/>
      <c r="G93" s="7"/>
      <c r="H93" s="8" t="str">
        <f aca="false">IF(G93="","",INDEX(환율!$B$2:$B$10,MATCH(F93,환율!$A$2:$A$10,0)))</f>
        <v/>
      </c>
      <c r="I93" s="9" t="str">
        <f aca="false">IF(G93="","",G93*H93)</f>
        <v/>
      </c>
      <c r="J93" s="10" t="str">
        <f aca="false">IF(G93="","",I93/INDEX(환율!$B$2:$B$10,MATCH("USD",환율!$A$2:$A$10,0)))</f>
        <v/>
      </c>
      <c r="K93" s="9" t="str">
        <f aca="false">IF(G93="","",I93/INDEX(환율!$B$2:$B$10,MATCH("MNT",환율!$A$2:$A$10,0)))</f>
        <v/>
      </c>
      <c r="L93" s="6"/>
      <c r="M93" s="6"/>
      <c r="N93" s="6"/>
      <c r="O93" s="5"/>
    </row>
    <row r="94" customFormat="false" ht="15" hidden="false" customHeight="false" outlineLevel="0" collapsed="false">
      <c r="A94" s="3" t="str">
        <f aca="false">IF(G94="","",ROW()-1)</f>
        <v/>
      </c>
      <c r="B94" s="4"/>
      <c r="C94" s="5"/>
      <c r="D94" s="5"/>
      <c r="E94" s="5"/>
      <c r="F94" s="5"/>
      <c r="G94" s="7"/>
      <c r="H94" s="8" t="str">
        <f aca="false">IF(G94="","",INDEX(환율!$B$2:$B$10,MATCH(F94,환율!$A$2:$A$10,0)))</f>
        <v/>
      </c>
      <c r="I94" s="9" t="str">
        <f aca="false">IF(G94="","",G94*H94)</f>
        <v/>
      </c>
      <c r="J94" s="10" t="str">
        <f aca="false">IF(G94="","",I94/INDEX(환율!$B$2:$B$10,MATCH("USD",환율!$A$2:$A$10,0)))</f>
        <v/>
      </c>
      <c r="K94" s="9" t="str">
        <f aca="false">IF(G94="","",I94/INDEX(환율!$B$2:$B$10,MATCH("MNT",환율!$A$2:$A$10,0)))</f>
        <v/>
      </c>
      <c r="L94" s="6"/>
      <c r="M94" s="6"/>
      <c r="N94" s="6"/>
      <c r="O94" s="5"/>
    </row>
    <row r="95" customFormat="false" ht="15" hidden="false" customHeight="false" outlineLevel="0" collapsed="false">
      <c r="A95" s="3" t="str">
        <f aca="false">IF(G95="","",ROW()-1)</f>
        <v/>
      </c>
      <c r="B95" s="4"/>
      <c r="C95" s="5"/>
      <c r="D95" s="5"/>
      <c r="E95" s="5"/>
      <c r="F95" s="5"/>
      <c r="G95" s="7"/>
      <c r="H95" s="8" t="str">
        <f aca="false">IF(G95="","",INDEX(환율!$B$2:$B$10,MATCH(F95,환율!$A$2:$A$10,0)))</f>
        <v/>
      </c>
      <c r="I95" s="9" t="str">
        <f aca="false">IF(G95="","",G95*H95)</f>
        <v/>
      </c>
      <c r="J95" s="10" t="str">
        <f aca="false">IF(G95="","",I95/INDEX(환율!$B$2:$B$10,MATCH("USD",환율!$A$2:$A$10,0)))</f>
        <v/>
      </c>
      <c r="K95" s="9" t="str">
        <f aca="false">IF(G95="","",I95/INDEX(환율!$B$2:$B$10,MATCH("MNT",환율!$A$2:$A$10,0)))</f>
        <v/>
      </c>
      <c r="L95" s="6"/>
      <c r="M95" s="6"/>
      <c r="N95" s="6"/>
      <c r="O95" s="5"/>
    </row>
    <row r="96" customFormat="false" ht="15" hidden="false" customHeight="false" outlineLevel="0" collapsed="false">
      <c r="A96" s="3" t="str">
        <f aca="false">IF(G96="","",ROW()-1)</f>
        <v/>
      </c>
      <c r="B96" s="4"/>
      <c r="C96" s="5"/>
      <c r="D96" s="5"/>
      <c r="E96" s="5"/>
      <c r="F96" s="5"/>
      <c r="G96" s="7"/>
      <c r="H96" s="8" t="str">
        <f aca="false">IF(G96="","",INDEX(환율!$B$2:$B$10,MATCH(F96,환율!$A$2:$A$10,0)))</f>
        <v/>
      </c>
      <c r="I96" s="9" t="str">
        <f aca="false">IF(G96="","",G96*H96)</f>
        <v/>
      </c>
      <c r="J96" s="10" t="str">
        <f aca="false">IF(G96="","",I96/INDEX(환율!$B$2:$B$10,MATCH("USD",환율!$A$2:$A$10,0)))</f>
        <v/>
      </c>
      <c r="K96" s="9" t="str">
        <f aca="false">IF(G96="","",I96/INDEX(환율!$B$2:$B$10,MATCH("MNT",환율!$A$2:$A$10,0)))</f>
        <v/>
      </c>
      <c r="L96" s="6"/>
      <c r="M96" s="6"/>
      <c r="N96" s="6"/>
      <c r="O96" s="5"/>
    </row>
    <row r="97" customFormat="false" ht="15" hidden="false" customHeight="false" outlineLevel="0" collapsed="false">
      <c r="A97" s="3" t="str">
        <f aca="false">IF(G97="","",ROW()-1)</f>
        <v/>
      </c>
      <c r="B97" s="4"/>
      <c r="C97" s="5"/>
      <c r="D97" s="5"/>
      <c r="E97" s="5"/>
      <c r="F97" s="5"/>
      <c r="G97" s="7"/>
      <c r="H97" s="8" t="str">
        <f aca="false">IF(G97="","",INDEX(환율!$B$2:$B$10,MATCH(F97,환율!$A$2:$A$10,0)))</f>
        <v/>
      </c>
      <c r="I97" s="9" t="str">
        <f aca="false">IF(G97="","",G97*H97)</f>
        <v/>
      </c>
      <c r="J97" s="10" t="str">
        <f aca="false">IF(G97="","",I97/INDEX(환율!$B$2:$B$10,MATCH("USD",환율!$A$2:$A$10,0)))</f>
        <v/>
      </c>
      <c r="K97" s="9" t="str">
        <f aca="false">IF(G97="","",I97/INDEX(환율!$B$2:$B$10,MATCH("MNT",환율!$A$2:$A$10,0)))</f>
        <v/>
      </c>
      <c r="L97" s="6"/>
      <c r="M97" s="6"/>
      <c r="N97" s="6"/>
      <c r="O97" s="5"/>
    </row>
    <row r="98" customFormat="false" ht="15" hidden="false" customHeight="false" outlineLevel="0" collapsed="false">
      <c r="A98" s="3" t="str">
        <f aca="false">IF(G98="","",ROW()-1)</f>
        <v/>
      </c>
      <c r="B98" s="4"/>
      <c r="C98" s="5"/>
      <c r="D98" s="5"/>
      <c r="E98" s="5"/>
      <c r="F98" s="5"/>
      <c r="G98" s="7"/>
      <c r="H98" s="8" t="str">
        <f aca="false">IF(G98="","",INDEX(환율!$B$2:$B$10,MATCH(F98,환율!$A$2:$A$10,0)))</f>
        <v/>
      </c>
      <c r="I98" s="9" t="str">
        <f aca="false">IF(G98="","",G98*H98)</f>
        <v/>
      </c>
      <c r="J98" s="10" t="str">
        <f aca="false">IF(G98="","",I98/INDEX(환율!$B$2:$B$10,MATCH("USD",환율!$A$2:$A$10,0)))</f>
        <v/>
      </c>
      <c r="K98" s="9" t="str">
        <f aca="false">IF(G98="","",I98/INDEX(환율!$B$2:$B$10,MATCH("MNT",환율!$A$2:$A$10,0)))</f>
        <v/>
      </c>
      <c r="L98" s="6"/>
      <c r="M98" s="6"/>
      <c r="N98" s="6"/>
      <c r="O98" s="5"/>
    </row>
    <row r="99" customFormat="false" ht="15" hidden="false" customHeight="false" outlineLevel="0" collapsed="false">
      <c r="A99" s="3" t="str">
        <f aca="false">IF(G99="","",ROW()-1)</f>
        <v/>
      </c>
      <c r="B99" s="4"/>
      <c r="C99" s="5"/>
      <c r="D99" s="5"/>
      <c r="E99" s="5"/>
      <c r="F99" s="5"/>
      <c r="G99" s="7"/>
      <c r="H99" s="8" t="str">
        <f aca="false">IF(G99="","",INDEX(환율!$B$2:$B$10,MATCH(F99,환율!$A$2:$A$10,0)))</f>
        <v/>
      </c>
      <c r="I99" s="9" t="str">
        <f aca="false">IF(G99="","",G99*H99)</f>
        <v/>
      </c>
      <c r="J99" s="10" t="str">
        <f aca="false">IF(G99="","",I99/INDEX(환율!$B$2:$B$10,MATCH("USD",환율!$A$2:$A$10,0)))</f>
        <v/>
      </c>
      <c r="K99" s="9" t="str">
        <f aca="false">IF(G99="","",I99/INDEX(환율!$B$2:$B$10,MATCH("MNT",환율!$A$2:$A$10,0)))</f>
        <v/>
      </c>
      <c r="L99" s="6"/>
      <c r="M99" s="6"/>
      <c r="N99" s="6"/>
      <c r="O99" s="5"/>
    </row>
    <row r="100" customFormat="false" ht="15" hidden="false" customHeight="false" outlineLevel="0" collapsed="false">
      <c r="A100" s="3" t="str">
        <f aca="false">IF(G100="","",ROW()-1)</f>
        <v/>
      </c>
      <c r="B100" s="4"/>
      <c r="C100" s="5"/>
      <c r="D100" s="5"/>
      <c r="E100" s="5"/>
      <c r="F100" s="5"/>
      <c r="G100" s="7"/>
      <c r="H100" s="8" t="str">
        <f aca="false">IF(G100="","",INDEX(환율!$B$2:$B$10,MATCH(F100,환율!$A$2:$A$10,0)))</f>
        <v/>
      </c>
      <c r="I100" s="9" t="str">
        <f aca="false">IF(G100="","",G100*H100)</f>
        <v/>
      </c>
      <c r="J100" s="10" t="str">
        <f aca="false">IF(G100="","",I100/INDEX(환율!$B$2:$B$10,MATCH("USD",환율!$A$2:$A$10,0)))</f>
        <v/>
      </c>
      <c r="K100" s="9" t="str">
        <f aca="false">IF(G100="","",I100/INDEX(환율!$B$2:$B$10,MATCH("MNT",환율!$A$2:$A$10,0)))</f>
        <v/>
      </c>
      <c r="L100" s="6"/>
      <c r="M100" s="6"/>
      <c r="N100" s="6"/>
      <c r="O100" s="5"/>
    </row>
    <row r="101" customFormat="false" ht="15" hidden="false" customHeight="false" outlineLevel="0" collapsed="false">
      <c r="A101" s="3" t="str">
        <f aca="false">IF(G101="","",ROW()-1)</f>
        <v/>
      </c>
      <c r="B101" s="4"/>
      <c r="C101" s="5"/>
      <c r="D101" s="5"/>
      <c r="E101" s="5"/>
      <c r="F101" s="5"/>
      <c r="G101" s="7"/>
      <c r="H101" s="8" t="str">
        <f aca="false">IF(G101="","",INDEX(환율!$B$2:$B$10,MATCH(F101,환율!$A$2:$A$10,0)))</f>
        <v/>
      </c>
      <c r="I101" s="9" t="str">
        <f aca="false">IF(G101="","",G101*H101)</f>
        <v/>
      </c>
      <c r="J101" s="10" t="str">
        <f aca="false">IF(G101="","",I101/INDEX(환율!$B$2:$B$10,MATCH("USD",환율!$A$2:$A$10,0)))</f>
        <v/>
      </c>
      <c r="K101" s="9" t="str">
        <f aca="false">IF(G101="","",I101/INDEX(환율!$B$2:$B$10,MATCH("MNT",환율!$A$2:$A$10,0)))</f>
        <v/>
      </c>
      <c r="L101" s="6"/>
      <c r="M101" s="6"/>
      <c r="N101" s="6"/>
      <c r="O101" s="5"/>
    </row>
    <row r="102" customFormat="false" ht="15" hidden="false" customHeight="false" outlineLevel="0" collapsed="false">
      <c r="E102" s="11" t="s">
        <v>43</v>
      </c>
      <c r="I102" s="12" t="n">
        <f aca="false">SUM(I2:I101)</f>
        <v>431221.2</v>
      </c>
      <c r="J102" s="13" t="n">
        <f aca="false">SUM(J2:J101)</f>
        <v>312.479130434783</v>
      </c>
      <c r="K102" s="12" t="n">
        <f aca="false">SUM(K2:K101)</f>
        <v>1078053</v>
      </c>
    </row>
  </sheetData>
  <autoFilter ref="A1:O101"/>
  <dataValidations count="4">
    <dataValidation allowBlank="true" errorStyle="stop" operator="between" showDropDown="false" showErrorMessage="false" showInputMessage="false" sqref="F2:F101" type="list">
      <formula1>"KRW,USD,MNT"</formula1>
      <formula2>0</formula2>
    </dataValidation>
    <dataValidation allowBlank="true" errorStyle="stop" operator="between" showDropDown="false" showErrorMessage="false" showInputMessage="false" sqref="L2:L101" type="list">
      <formula1>"개인,공금,미정"</formula1>
      <formula2>0</formula2>
    </dataValidation>
    <dataValidation allowBlank="true" errorStyle="stop" operator="between" showDropDown="false" showErrorMessage="false" showInputMessage="false" sqref="M2:M101" type="list">
      <formula1>"예약금,생필품,기타"</formula1>
      <formula2>0</formula2>
    </dataValidation>
    <dataValidation allowBlank="true" errorStyle="stop" operator="between" showDropDown="false" showErrorMessage="false" showInputMessage="false" sqref="N2:N101" type="list">
      <formula1>"영수증,노션,영수증+노션"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4" t="s">
        <v>44</v>
      </c>
      <c r="B1" s="15" t="s">
        <v>45</v>
      </c>
      <c r="C1" s="14" t="s">
        <v>46</v>
      </c>
    </row>
    <row r="2" customFormat="false" ht="15" hidden="false" customHeight="false" outlineLevel="0" collapsed="false">
      <c r="A2" s="16" t="s">
        <v>47</v>
      </c>
      <c r="B2" s="17" t="n">
        <v>1</v>
      </c>
      <c r="C2" s="18" t="s">
        <v>48</v>
      </c>
    </row>
    <row r="3" customFormat="false" ht="15" hidden="false" customHeight="false" outlineLevel="0" collapsed="false">
      <c r="A3" s="16" t="s">
        <v>49</v>
      </c>
      <c r="B3" s="19" t="n">
        <v>1380</v>
      </c>
      <c r="C3" s="18" t="s">
        <v>50</v>
      </c>
    </row>
    <row r="4" customFormat="false" ht="15" hidden="false" customHeight="false" outlineLevel="0" collapsed="false">
      <c r="A4" s="16" t="s">
        <v>18</v>
      </c>
      <c r="B4" s="19" t="n">
        <v>0.4</v>
      </c>
      <c r="C4" s="18" t="s">
        <v>50</v>
      </c>
    </row>
    <row r="6" customFormat="false" ht="15" hidden="false" customHeight="false" outlineLevel="0" collapsed="false">
      <c r="A6" s="20" t="s">
        <v>51</v>
      </c>
      <c r="B6" s="20"/>
      <c r="C6" s="20"/>
    </row>
    <row r="7" customFormat="false" ht="15" hidden="false" customHeight="false" outlineLevel="0" collapsed="false">
      <c r="A7" s="20" t="s">
        <v>52</v>
      </c>
      <c r="B7" s="20"/>
      <c r="C7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6.4" hidden="false" customHeight="false" outlineLevel="0" collapsed="false">
      <c r="A1" s="21" t="s">
        <v>53</v>
      </c>
      <c r="B1" s="16"/>
      <c r="C1" s="16"/>
      <c r="D1" s="16"/>
      <c r="E1" s="16"/>
      <c r="F1" s="16"/>
      <c r="G1" s="16"/>
      <c r="H1" s="16"/>
    </row>
    <row r="2" customFormat="false" ht="15" hidden="false" customHeight="false" outlineLevel="0" collapsed="false">
      <c r="A2" s="16"/>
      <c r="B2" s="16"/>
      <c r="C2" s="16"/>
      <c r="D2" s="16"/>
      <c r="E2" s="16"/>
      <c r="F2" s="16"/>
      <c r="G2" s="16"/>
      <c r="H2" s="16"/>
    </row>
    <row r="3" customFormat="false" ht="15" hidden="false" customHeight="false" outlineLevel="0" collapsed="false">
      <c r="A3" s="14" t="s">
        <v>12</v>
      </c>
      <c r="B3" s="14" t="s">
        <v>54</v>
      </c>
      <c r="C3" s="14" t="s">
        <v>55</v>
      </c>
      <c r="D3" s="14" t="s">
        <v>19</v>
      </c>
      <c r="E3" s="14" t="s">
        <v>56</v>
      </c>
      <c r="F3" s="14" t="s">
        <v>9</v>
      </c>
      <c r="G3" s="14" t="s">
        <v>10</v>
      </c>
      <c r="H3" s="14" t="s">
        <v>57</v>
      </c>
    </row>
    <row r="4" customFormat="false" ht="15" hidden="false" customHeight="false" outlineLevel="0" collapsed="false">
      <c r="A4" s="22" t="s">
        <v>58</v>
      </c>
      <c r="B4" s="23" t="n">
        <f aca="false">SUMIFS(지출내역!$I$2:$I$101,지출내역!$M$2:$M$101,$A4,지출내역!$L$2:$L$101,B$3)</f>
        <v>0</v>
      </c>
      <c r="C4" s="23" t="n">
        <f aca="false">SUMIFS(지출내역!$I$2:$I$101,지출내역!$M$2:$M$101,$A4,지출내역!$L$2:$L$101,C$3)</f>
        <v>0</v>
      </c>
      <c r="D4" s="23" t="n">
        <f aca="false">SUMIFS(지출내역!$I$2:$I$101,지출내역!$M$2:$M$101,$A4,지출내역!$L$2:$L$101,D$3)</f>
        <v>0</v>
      </c>
      <c r="E4" s="23" t="n">
        <f aca="false">SUM(B4:D4)</f>
        <v>0</v>
      </c>
      <c r="F4" s="24" t="n">
        <f aca="false">E4/INDEX(환율!$B$2:$B$10,MATCH("USD",환율!$A$2:$A$10,0))</f>
        <v>0</v>
      </c>
      <c r="G4" s="23" t="n">
        <f aca="false">E4/INDEX(환율!$B$2:$B$10,MATCH("MNT",환율!$A$2:$A$10,0))</f>
        <v>0</v>
      </c>
      <c r="H4" s="25" t="n">
        <f aca="false">IF($E$7=0,0,E4/$E$7)</f>
        <v>0</v>
      </c>
    </row>
    <row r="5" customFormat="false" ht="15" hidden="false" customHeight="false" outlineLevel="0" collapsed="false">
      <c r="A5" s="22" t="s">
        <v>26</v>
      </c>
      <c r="B5" s="23" t="n">
        <f aca="false">SUMIFS(지출내역!$I$2:$I$101,지출내역!$M$2:$M$101,$A5,지출내역!$L$2:$L$101,B$3)</f>
        <v>0</v>
      </c>
      <c r="C5" s="23" t="n">
        <f aca="false">SUMIFS(지출내역!$I$2:$I$101,지출내역!$M$2:$M$101,$A5,지출내역!$L$2:$L$101,C$3)</f>
        <v>0</v>
      </c>
      <c r="D5" s="23" t="n">
        <f aca="false">SUMIFS(지출내역!$I$2:$I$101,지출내역!$M$2:$M$101,$A5,지출내역!$L$2:$L$101,D$3)</f>
        <v>27609.6</v>
      </c>
      <c r="E5" s="23" t="n">
        <f aca="false">SUM(B5:D5)</f>
        <v>27609.6</v>
      </c>
      <c r="F5" s="24" t="n">
        <f aca="false">E5/INDEX(환율!$B$2:$B$10,MATCH("USD",환율!$A$2:$A$10,0))</f>
        <v>20.0069565217391</v>
      </c>
      <c r="G5" s="23" t="n">
        <f aca="false">E5/INDEX(환율!$B$2:$B$10,MATCH("MNT",환율!$A$2:$A$10,0))</f>
        <v>69024</v>
      </c>
      <c r="H5" s="25" t="n">
        <f aca="false">IF($E$7=0,0,E5/$E$7)</f>
        <v>0.0640265367287137</v>
      </c>
    </row>
    <row r="6" customFormat="false" ht="15" hidden="false" customHeight="false" outlineLevel="0" collapsed="false">
      <c r="A6" s="22" t="s">
        <v>20</v>
      </c>
      <c r="B6" s="23" t="n">
        <f aca="false">SUMIFS(지출내역!$I$2:$I$101,지출내역!$M$2:$M$101,$A6,지출내역!$L$2:$L$101,B$3)</f>
        <v>0</v>
      </c>
      <c r="C6" s="23" t="n">
        <f aca="false">SUMIFS(지출내역!$I$2:$I$101,지출내역!$M$2:$M$101,$A6,지출내역!$L$2:$L$101,C$3)</f>
        <v>0</v>
      </c>
      <c r="D6" s="23" t="n">
        <f aca="false">SUMIFS(지출내역!$I$2:$I$101,지출내역!$M$2:$M$101,$A6,지출내역!$L$2:$L$101,D$3)</f>
        <v>403611.6</v>
      </c>
      <c r="E6" s="23" t="n">
        <f aca="false">SUM(B6:D6)</f>
        <v>403611.6</v>
      </c>
      <c r="F6" s="24" t="n">
        <f aca="false">E6/INDEX(환율!$B$2:$B$10,MATCH("USD",환율!$A$2:$A$10,0))</f>
        <v>292.472173913043</v>
      </c>
      <c r="G6" s="23" t="n">
        <f aca="false">E6/INDEX(환율!$B$2:$B$10,MATCH("MNT",환율!$A$2:$A$10,0))</f>
        <v>1009029</v>
      </c>
      <c r="H6" s="25" t="n">
        <f aca="false">IF($E$7=0,0,E6/$E$7)</f>
        <v>0.935973463271286</v>
      </c>
    </row>
    <row r="7" customFormat="false" ht="15" hidden="false" customHeight="false" outlineLevel="0" collapsed="false">
      <c r="A7" s="26" t="s">
        <v>43</v>
      </c>
      <c r="B7" s="27" t="n">
        <f aca="false">SUM(B4:B6)</f>
        <v>0</v>
      </c>
      <c r="C7" s="27" t="n">
        <f aca="false">SUM(C4:C6)</f>
        <v>0</v>
      </c>
      <c r="D7" s="27" t="n">
        <f aca="false">SUM(D4:D6)</f>
        <v>431221.2</v>
      </c>
      <c r="E7" s="27" t="n">
        <f aca="false">SUM(E4:E6)</f>
        <v>431221.2</v>
      </c>
      <c r="F7" s="28" t="n">
        <f aca="false">SUM(F4:F6)</f>
        <v>312.479130434783</v>
      </c>
      <c r="G7" s="27" t="n">
        <f aca="false">SUM(G4:G6)</f>
        <v>1078053</v>
      </c>
      <c r="H7" s="29" t="n">
        <f aca="false">SUM(H4:H6)</f>
        <v>1</v>
      </c>
    </row>
    <row r="8" customFormat="false" ht="15" hidden="false" customHeight="false" outlineLevel="0" collapsed="false">
      <c r="A8" s="16"/>
      <c r="B8" s="16"/>
      <c r="C8" s="16"/>
      <c r="D8" s="16"/>
      <c r="E8" s="16"/>
      <c r="F8" s="16"/>
      <c r="G8" s="16"/>
      <c r="H8" s="16"/>
    </row>
    <row r="9" customFormat="false" ht="15" hidden="false" customHeight="false" outlineLevel="0" collapsed="false">
      <c r="A9" s="30" t="s">
        <v>59</v>
      </c>
      <c r="B9" s="16"/>
      <c r="C9" s="16"/>
      <c r="D9" s="16"/>
      <c r="E9" s="16"/>
      <c r="F9" s="16"/>
      <c r="G9" s="16"/>
      <c r="H9" s="16"/>
    </row>
    <row r="10" customFormat="false" ht="15" hidden="false" customHeight="false" outlineLevel="0" collapsed="false">
      <c r="A10" s="31" t="n">
        <f aca="false">E7-지출내역!I102</f>
        <v>0</v>
      </c>
      <c r="B10" s="16"/>
      <c r="C10" s="16"/>
      <c r="D10" s="16"/>
      <c r="E10" s="16"/>
      <c r="F10" s="16"/>
      <c r="G10" s="16"/>
      <c r="H10" s="16"/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6"/>
      <c r="G11" s="16"/>
      <c r="H11" s="16"/>
    </row>
    <row r="12" customFormat="false" ht="15" hidden="false" customHeight="false" outlineLevel="0" collapsed="false">
      <c r="A12" s="30" t="s">
        <v>60</v>
      </c>
      <c r="B12" s="16"/>
      <c r="C12" s="16"/>
      <c r="D12" s="16"/>
      <c r="E12" s="16"/>
      <c r="F12" s="16"/>
      <c r="G12" s="16"/>
      <c r="H12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2026-10-09T09:21:56Z</dcterms:created>
  <dc:creator>openpyxl</dc:creator>
  <dc:description/>
  <dc:language>en-US</dc:language>
  <cp:lastModifiedBy/>
  <dcterms:modified xsi:type="dcterms:W3CDTF">2026-10-09T09:21:56Z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