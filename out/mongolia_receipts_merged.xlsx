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지출내역" sheetId="1" state="visible" r:id="rId3"/>
    <sheet name="환율" sheetId="2" state="visible" r:id="rId4"/>
    <sheet name="요약" sheetId="3" state="visible" r:id="rId5"/>
  </sheets>
  <definedNames>
    <definedName function="false" hidden="true" localSheetId="0" name="_xlnm._FilterDatabase" vbProcedure="false">지출내역!$A$1:$P$61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사용자가 채팅에 붙여 넣은 몽골 영수증 표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WenQuanYi Zen Hei"/>
            <family val="2"/>
          </rPr>
          <t xml:space="preserve">기존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몽골 금액 정리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WenQuanYi Zen Hei"/>
            <family val="2"/>
          </rPr>
          <t xml:space="preserve">시트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시트</t>
        </r>
        <r>
          <rPr>
            <sz val="10"/>
            <rFont val="Arial"/>
            <family val="2"/>
          </rPr>
          <t xml:space="preserve">1). </t>
        </r>
        <r>
          <rPr>
            <sz val="10"/>
            <rFont val="WenQuanYi Zen Hei"/>
            <family val="2"/>
          </rPr>
          <t xml:space="preserve">연도는 </t>
        </r>
        <r>
          <rPr>
            <sz val="10"/>
            <rFont val="Arial"/>
            <family val="2"/>
          </rPr>
          <t xml:space="preserve">2026</t>
        </r>
        <r>
          <rPr>
            <sz val="10"/>
            <rFont val="WenQuanYi Zen Hei"/>
            <family val="2"/>
          </rPr>
          <t xml:space="preserve">년으로 가정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노션 페이지는 미반영</t>
        </r>
        <r>
          <rPr>
            <sz val="10"/>
            <rFont val="Arial"/>
            <family val="2"/>
          </rPr>
          <t xml:space="preserve">.</t>
        </r>
      </text>
    </comment>
    <comment ref="J1" authorId="0">
      <text>
        <r>
          <rPr>
            <sz val="10"/>
            <rFont val="WenQuanYi Zen Hei"/>
            <family val="2"/>
          </rPr>
          <t xml:space="preserve">원화가 기준 통화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결제금액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WenQuanYi Zen Hei"/>
            <family val="2"/>
          </rPr>
          <t xml:space="preserve">적용환율</t>
        </r>
      </text>
    </comment>
    <comment ref="K1" authorId="0">
      <text>
        <r>
          <rPr>
            <sz val="10"/>
            <rFont val="WenQuanYi Zen Hei"/>
            <family val="2"/>
          </rPr>
          <t xml:space="preserve">원화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환율</t>
        </r>
        <r>
          <rPr>
            <sz val="10"/>
            <rFont val="Arial"/>
            <family val="2"/>
          </rPr>
          <t xml:space="preserve">!USD</t>
        </r>
      </text>
    </comment>
    <comment ref="L1" authorId="0">
      <text>
        <r>
          <rPr>
            <sz val="10"/>
            <rFont val="WenQuanYi Zen Hei"/>
            <family val="2"/>
          </rPr>
          <t xml:space="preserve">원화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환율</t>
        </r>
        <r>
          <rPr>
            <sz val="10"/>
            <rFont val="Arial"/>
            <family val="2"/>
          </rPr>
          <t xml:space="preserve">!MNT</t>
        </r>
      </text>
    </comment>
  </commentList>
</comments>
</file>

<file path=xl/sharedStrings.xml><?xml version="1.0" encoding="utf-8"?>
<sst xmlns="http://schemas.openxmlformats.org/spreadsheetml/2006/main" count="144" uniqueCount="77">
  <si>
    <t xml:space="preserve">No</t>
  </si>
  <si>
    <t xml:space="preserve">날짜</t>
  </si>
  <si>
    <t xml:space="preserve">시간</t>
  </si>
  <si>
    <t xml:space="preserve">가맹점</t>
  </si>
  <si>
    <r>
      <rPr>
        <b val="true"/>
        <sz val="11"/>
        <rFont val="WenQuanYi Zen Hei"/>
        <family val="2"/>
      </rPr>
      <t xml:space="preserve">품목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내용</t>
    </r>
  </si>
  <si>
    <t xml:space="preserve">결제수단</t>
  </si>
  <si>
    <t xml:space="preserve">결제통화</t>
  </si>
  <si>
    <t xml:space="preserve">결제금액</t>
  </si>
  <si>
    <r>
      <rPr>
        <b val="true"/>
        <sz val="11"/>
        <rFont val="WenQuanYi Zen Hei"/>
        <family val="2"/>
      </rPr>
      <t xml:space="preserve">적용환율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원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단위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</si>
  <si>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원화</t>
    </r>
    <r>
      <rPr>
        <b val="true"/>
        <sz val="11"/>
        <rFont val="Arial"/>
        <family val="0"/>
        <charset val="1"/>
      </rPr>
      <t xml:space="preserve">(KRW)</t>
    </r>
  </si>
  <si>
    <r>
      <rPr>
        <b val="true"/>
        <sz val="11"/>
        <rFont val="WenQuanYi Zen Hei"/>
        <family val="2"/>
      </rPr>
      <t xml:space="preserve">달러</t>
    </r>
    <r>
      <rPr>
        <b val="true"/>
        <sz val="11"/>
        <rFont val="Arial"/>
        <family val="0"/>
        <charset val="1"/>
      </rPr>
      <t xml:space="preserve">(USD)</t>
    </r>
  </si>
  <si>
    <r>
      <rPr>
        <b val="true"/>
        <sz val="11"/>
        <rFont val="WenQuanYi Zen Hei"/>
        <family val="2"/>
      </rPr>
      <t xml:space="preserve">투그릭</t>
    </r>
    <r>
      <rPr>
        <b val="true"/>
        <sz val="11"/>
        <rFont val="Arial"/>
        <family val="0"/>
        <charset val="1"/>
      </rPr>
      <t xml:space="preserve">(MNT)</t>
    </r>
  </si>
  <si>
    <r>
      <rPr>
        <b val="true"/>
        <sz val="11"/>
        <rFont val="WenQuanYi Zen Hei"/>
        <family val="2"/>
      </rPr>
      <t xml:space="preserve">개인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WenQuanYi Zen Hei"/>
        <family val="2"/>
      </rPr>
      <t xml:space="preserve">공금</t>
    </r>
  </si>
  <si>
    <t xml:space="preserve">소비패턴</t>
  </si>
  <si>
    <t xml:space="preserve">출처</t>
  </si>
  <si>
    <t xml:space="preserve">비고</t>
  </si>
  <si>
    <t xml:space="preserve">노민마트</t>
  </si>
  <si>
    <t xml:space="preserve">품목 미확인</t>
  </si>
  <si>
    <t xml:space="preserve">현금</t>
  </si>
  <si>
    <t xml:space="preserve">MNT</t>
  </si>
  <si>
    <t xml:space="preserve">미정</t>
  </si>
  <si>
    <t xml:space="preserve">기타</t>
  </si>
  <si>
    <t xml:space="preserve">기존시트</t>
  </si>
  <si>
    <t xml:space="preserve">12:14</t>
  </si>
  <si>
    <r>
      <rPr>
        <sz val="11"/>
        <color rgb="FF0000FF"/>
        <rFont val="Arial"/>
        <family val="0"/>
        <charset val="1"/>
      </rPr>
      <t xml:space="preserve">NOMINGOBI (</t>
    </r>
    <r>
      <rPr>
        <sz val="11"/>
        <color rgb="FF0000FF"/>
        <rFont val="WenQuanYi Zen Hei"/>
        <family val="2"/>
      </rPr>
      <t xml:space="preserve">노민마트</t>
    </r>
    <r>
      <rPr>
        <sz val="11"/>
        <color rgb="FF0000FF"/>
        <rFont val="Arial"/>
        <family val="0"/>
        <charset val="1"/>
      </rPr>
      <t xml:space="preserve">)</t>
    </r>
  </si>
  <si>
    <t xml:space="preserve">병합</t>
  </si>
  <si>
    <r>
      <rPr>
        <sz val="11"/>
        <color rgb="FF0000FF"/>
        <rFont val="WenQuanYi Zen Hei"/>
        <family val="2"/>
      </rPr>
      <t xml:space="preserve">기존 시트 </t>
    </r>
    <r>
      <rPr>
        <sz val="11"/>
        <color rgb="FF0000FF"/>
        <rFont val="Arial"/>
        <family val="0"/>
        <charset val="1"/>
      </rPr>
      <t xml:space="preserve">10/5 </t>
    </r>
    <r>
      <rPr>
        <sz val="11"/>
        <color rgb="FF0000FF"/>
        <rFont val="WenQuanYi Zen Hei"/>
        <family val="2"/>
      </rPr>
      <t xml:space="preserve">노민마트와 같은 금액 → 한 건으로 합침</t>
    </r>
  </si>
  <si>
    <t xml:space="preserve">12:16</t>
  </si>
  <si>
    <t xml:space="preserve">NOMIN</t>
  </si>
  <si>
    <t xml:space="preserve">초콜릿</t>
  </si>
  <si>
    <t xml:space="preserve">미확인</t>
  </si>
  <si>
    <t xml:space="preserve">생필품</t>
  </si>
  <si>
    <t xml:space="preserve">영수증</t>
  </si>
  <si>
    <t xml:space="preserve">11:30</t>
  </si>
  <si>
    <t xml:space="preserve">NOMIN BUSINESS CLUB</t>
  </si>
  <si>
    <r>
      <rPr>
        <sz val="11"/>
        <color rgb="FF0000FF"/>
        <rFont val="WenQuanYi Zen Hei"/>
        <family val="2"/>
      </rPr>
      <t xml:space="preserve">아이스크림 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WenQuanYi Zen Hei"/>
        <family val="2"/>
      </rPr>
      <t xml:space="preserve">개</t>
    </r>
  </si>
  <si>
    <t xml:space="preserve">11:32</t>
  </si>
  <si>
    <r>
      <rPr>
        <sz val="11"/>
        <color rgb="FF0000FF"/>
        <rFont val="Arial"/>
        <family val="0"/>
        <charset val="1"/>
      </rPr>
      <t xml:space="preserve">NOMIN BUSINESS CLUB (</t>
    </r>
    <r>
      <rPr>
        <sz val="11"/>
        <color rgb="FF0000FF"/>
        <rFont val="WenQuanYi Zen Hei"/>
        <family val="2"/>
      </rPr>
      <t xml:space="preserve">노민마트</t>
    </r>
    <r>
      <rPr>
        <sz val="11"/>
        <color rgb="FF0000FF"/>
        <rFont val="Arial"/>
        <family val="0"/>
        <charset val="1"/>
      </rPr>
      <t xml:space="preserve">)</t>
    </r>
  </si>
  <si>
    <r>
      <rPr>
        <sz val="11"/>
        <color rgb="FF0000FF"/>
        <rFont val="WenQuanYi Zen Hei"/>
        <family val="2"/>
      </rPr>
      <t xml:space="preserve">기존 시트에는 </t>
    </r>
    <r>
      <rPr>
        <sz val="11"/>
        <color rgb="FF0000FF"/>
        <rFont val="Arial"/>
        <family val="0"/>
        <charset val="1"/>
      </rPr>
      <t xml:space="preserve">10/6 </t>
    </r>
    <r>
      <rPr>
        <sz val="11"/>
        <color rgb="FF0000FF"/>
        <rFont val="WenQuanYi Zen Hei"/>
        <family val="2"/>
      </rPr>
      <t xml:space="preserve">노민마트로 기록 → 날짜 확인 필요</t>
    </r>
  </si>
  <si>
    <t xml:space="preserve">20:53</t>
  </si>
  <si>
    <t xml:space="preserve">놈곤 상점</t>
  </si>
  <si>
    <r>
      <rPr>
        <sz val="11"/>
        <color rgb="FF0000FF"/>
        <rFont val="WenQuanYi Zen Hei"/>
        <family val="2"/>
      </rPr>
      <t xml:space="preserve">콜라 </t>
    </r>
    <r>
      <rPr>
        <sz val="11"/>
        <color rgb="FF0000FF"/>
        <rFont val="Arial"/>
        <family val="0"/>
        <charset val="1"/>
      </rPr>
      <t xml:space="preserve">300ml</t>
    </r>
  </si>
  <si>
    <t xml:space="preserve">14:17</t>
  </si>
  <si>
    <t xml:space="preserve">STORE 5017</t>
  </si>
  <si>
    <t xml:space="preserve">카드 사용 확인용 구매</t>
  </si>
  <si>
    <t xml:space="preserve">카드</t>
  </si>
  <si>
    <t xml:space="preserve">14:56</t>
  </si>
  <si>
    <r>
      <rPr>
        <sz val="11"/>
        <color rgb="FF0000FF"/>
        <rFont val="Arial"/>
        <family val="0"/>
        <charset val="1"/>
      </rPr>
      <t xml:space="preserve">DREAM PLAZA 1-1 </t>
    </r>
    <r>
      <rPr>
        <sz val="11"/>
        <color rgb="FF0000FF"/>
        <rFont val="WenQuanYi Zen Hei"/>
        <family val="2"/>
      </rPr>
      <t xml:space="preserve">뷰티재팬</t>
    </r>
  </si>
  <si>
    <t xml:space="preserve">간식</t>
  </si>
  <si>
    <t xml:space="preserve">캐리어 팁</t>
  </si>
  <si>
    <t xml:space="preserve">날짜 미기재</t>
  </si>
  <si>
    <t xml:space="preserve">아이스크림</t>
  </si>
  <si>
    <r>
      <rPr>
        <sz val="11"/>
        <color rgb="FF0000FF"/>
        <rFont val="WenQuanYi Zen Hei"/>
        <family val="2"/>
      </rPr>
      <t xml:space="preserve">날짜 미기재 </t>
    </r>
    <r>
      <rPr>
        <sz val="11"/>
        <color rgb="FF0000FF"/>
        <rFont val="Arial"/>
        <family val="0"/>
        <charset val="1"/>
      </rPr>
      <t xml:space="preserve">· </t>
    </r>
    <r>
      <rPr>
        <sz val="11"/>
        <color rgb="FF0000FF"/>
        <rFont val="WenQuanYi Zen Hei"/>
        <family val="2"/>
      </rPr>
      <t xml:space="preserve">영수증 아이스크림</t>
    </r>
    <r>
      <rPr>
        <sz val="11"/>
        <color rgb="FF0000FF"/>
        <rFont val="Arial"/>
        <family val="0"/>
        <charset val="1"/>
      </rPr>
      <t xml:space="preserve">(12,654)</t>
    </r>
    <r>
      <rPr>
        <sz val="11"/>
        <color rgb="FF0000FF"/>
        <rFont val="WenQuanYi Zen Hei"/>
        <family val="2"/>
      </rPr>
      <t xml:space="preserve">과 금액 달라 별도 처리</t>
    </r>
  </si>
  <si>
    <t xml:space="preserve">맥주</t>
  </si>
  <si>
    <t xml:space="preserve">빠기 커피</t>
  </si>
  <si>
    <r>
      <rPr>
        <sz val="11"/>
        <color rgb="FF0000FF"/>
        <rFont val="Arial"/>
        <family val="0"/>
        <charset val="1"/>
      </rPr>
      <t xml:space="preserve">SendMN (</t>
    </r>
    <r>
      <rPr>
        <sz val="11"/>
        <color rgb="FF0000FF"/>
        <rFont val="WenQuanYi Zen Hei"/>
        <family val="2"/>
      </rPr>
      <t xml:space="preserve">미확인</t>
    </r>
    <r>
      <rPr>
        <sz val="11"/>
        <color rgb="FF0000FF"/>
        <rFont val="Arial"/>
        <family val="0"/>
        <charset val="1"/>
      </rPr>
      <t xml:space="preserve">)</t>
    </r>
  </si>
  <si>
    <r>
      <rPr>
        <sz val="11"/>
        <color rgb="FF0000FF"/>
        <rFont val="WenQuanYi Zen Hei"/>
        <family val="2"/>
      </rPr>
      <t xml:space="preserve">현금 지급</t>
    </r>
    <r>
      <rPr>
        <sz val="11"/>
        <color rgb="FF0000FF"/>
        <rFont val="Arial"/>
        <family val="0"/>
        <charset val="1"/>
      </rPr>
      <t xml:space="preserve">·</t>
    </r>
    <r>
      <rPr>
        <sz val="11"/>
        <color rgb="FF0000FF"/>
        <rFont val="WenQuanYi Zen Hei"/>
        <family val="2"/>
      </rPr>
      <t xml:space="preserve">송금 추정</t>
    </r>
  </si>
  <si>
    <t xml:space="preserve">송금</t>
  </si>
  <si>
    <r>
      <rPr>
        <sz val="11"/>
        <color rgb="FF0000FF"/>
        <rFont val="WenQuanYi Zen Hei"/>
        <family val="2"/>
      </rPr>
      <t xml:space="preserve">날짜 불명</t>
    </r>
    <r>
      <rPr>
        <sz val="11"/>
        <color rgb="FF0000FF"/>
        <rFont val="Arial"/>
        <family val="0"/>
        <charset val="1"/>
      </rPr>
      <t xml:space="preserve">, </t>
    </r>
    <r>
      <rPr>
        <sz val="11"/>
        <color rgb="FF0000FF"/>
        <rFont val="WenQuanYi Zen Hei"/>
        <family val="2"/>
      </rPr>
      <t xml:space="preserve">용도 확인 필요</t>
    </r>
  </si>
  <si>
    <t xml:space="preserve">합계</t>
  </si>
  <si>
    <t xml:space="preserve">통화</t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</si>
  <si>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단위당 원화</t>
    </r>
    <r>
      <rPr>
        <b val="true"/>
        <sz val="11"/>
        <rFont val="Arial"/>
        <family val="0"/>
        <charset val="1"/>
      </rPr>
      <t xml:space="preserve">(KRW)</t>
    </r>
  </si>
  <si>
    <t xml:space="preserve">설명</t>
  </si>
  <si>
    <t xml:space="preserve">KRW</t>
  </si>
  <si>
    <t xml:space="preserve">기준 통화</t>
  </si>
  <si>
    <t xml:space="preserve">USD</t>
  </si>
  <si>
    <r>
      <rPr>
        <sz val="11"/>
        <color theme="1"/>
        <rFont val="WenQuanYi Zen Hei"/>
        <family val="2"/>
      </rPr>
      <t xml:space="preserve">가정치 — 실제 환전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카드 청구 환율로 교체</t>
    </r>
  </si>
  <si>
    <r>
      <rPr>
        <i val="true"/>
        <sz val="11"/>
        <color rgb="FF595959"/>
        <rFont val="WenQuanYi Zen Hei"/>
        <family val="2"/>
      </rPr>
      <t xml:space="preserve">노란 칸</t>
    </r>
    <r>
      <rPr>
        <i val="true"/>
        <sz val="11"/>
        <color rgb="FF595959"/>
        <rFont val="Arial"/>
        <family val="0"/>
        <charset val="1"/>
      </rPr>
      <t xml:space="preserve">(B3:B4)</t>
    </r>
    <r>
      <rPr>
        <i val="true"/>
        <sz val="11"/>
        <color rgb="FF595959"/>
        <rFont val="WenQuanYi Zen Hei"/>
        <family val="2"/>
      </rPr>
      <t xml:space="preserve">만 수정하면 모든 시트의 원화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WenQuanYi Zen Hei"/>
        <family val="2"/>
      </rPr>
      <t xml:space="preserve">달러</t>
    </r>
    <r>
      <rPr>
        <i val="true"/>
        <sz val="11"/>
        <color rgb="FF595959"/>
        <rFont val="Arial"/>
        <family val="0"/>
        <charset val="1"/>
      </rPr>
      <t xml:space="preserve">·</t>
    </r>
    <r>
      <rPr>
        <i val="true"/>
        <sz val="11"/>
        <color rgb="FF595959"/>
        <rFont val="WenQuanYi Zen Hei"/>
        <family val="2"/>
      </rPr>
      <t xml:space="preserve">투그릭 금액이 다시 계산됩니다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</si>
  <si>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i val="true"/>
        <sz val="11"/>
        <color rgb="FF595959"/>
        <rFont val="WenQuanYi Zen Hei"/>
        <family val="2"/>
      </rPr>
      <t xml:space="preserve">환율 가정</t>
    </r>
    <r>
      <rPr>
        <i val="true"/>
        <sz val="11"/>
        <color rgb="FF595959"/>
        <rFont val="Arial"/>
        <family val="0"/>
        <charset val="1"/>
      </rPr>
      <t xml:space="preserve">: 2026-10 </t>
    </r>
    <r>
      <rPr>
        <i val="true"/>
        <sz val="11"/>
        <color rgb="FF595959"/>
        <rFont val="WenQuanYi Zen Hei"/>
        <family val="2"/>
      </rPr>
      <t xml:space="preserve">기준 대략치</t>
    </r>
    <r>
      <rPr>
        <i val="true"/>
        <sz val="11"/>
        <color rgb="FF595959"/>
        <rFont val="Arial"/>
        <family val="0"/>
        <charset val="1"/>
      </rPr>
      <t xml:space="preserve">(1 USD ≈ 1,380</t>
    </r>
    <r>
      <rPr>
        <i val="true"/>
        <sz val="11"/>
        <color rgb="FF595959"/>
        <rFont val="WenQuanYi Zen Hei"/>
        <family val="2"/>
      </rPr>
      <t xml:space="preserve">원</t>
    </r>
    <r>
      <rPr>
        <i val="true"/>
        <sz val="11"/>
        <color rgb="FF595959"/>
        <rFont val="Arial"/>
        <family val="0"/>
        <charset val="1"/>
      </rPr>
      <t xml:space="preserve">, 1 MNT ≈ 0.40</t>
    </r>
    <r>
      <rPr>
        <i val="true"/>
        <sz val="11"/>
        <color rgb="FF595959"/>
        <rFont val="WenQuanYi Zen Hei"/>
        <family val="2"/>
      </rPr>
      <t xml:space="preserve">원</t>
    </r>
    <r>
      <rPr>
        <i val="true"/>
        <sz val="11"/>
        <color rgb="FF595959"/>
        <rFont val="Arial"/>
        <family val="0"/>
        <charset val="1"/>
      </rPr>
      <t xml:space="preserve">). </t>
    </r>
    <r>
      <rPr>
        <i val="true"/>
        <sz val="11"/>
        <color rgb="FF595959"/>
        <rFont val="WenQuanYi Zen Hei"/>
        <family val="2"/>
      </rPr>
      <t xml:space="preserve">출처 없음 — 반드시 실제 값으로 교체</t>
    </r>
    <r>
      <rPr>
        <i val="true"/>
        <sz val="11"/>
        <color rgb="FF595959"/>
        <rFont val="Arial"/>
        <family val="0"/>
        <charset val="1"/>
      </rPr>
      <t xml:space="preserve">.</t>
    </r>
  </si>
  <si>
    <r>
      <rPr>
        <b val="true"/>
        <sz val="12"/>
        <rFont val="WenQuanYi Zen Hei"/>
        <family val="2"/>
      </rPr>
      <t xml:space="preserve">소비패턴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개인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공금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원화 기준</t>
    </r>
    <r>
      <rPr>
        <b val="true"/>
        <sz val="12"/>
        <rFont val="Arial"/>
        <family val="0"/>
        <charset val="1"/>
      </rPr>
      <t xml:space="preserve">)</t>
    </r>
  </si>
  <si>
    <t xml:space="preserve">개인</t>
  </si>
  <si>
    <t xml:space="preserve">공금</t>
  </si>
  <si>
    <r>
      <rPr>
        <b val="true"/>
        <sz val="11"/>
        <rFont val="WenQuanYi Zen Hei"/>
        <family val="2"/>
      </rPr>
      <t xml:space="preserve">합계</t>
    </r>
    <r>
      <rPr>
        <b val="true"/>
        <sz val="11"/>
        <rFont val="Arial"/>
        <family val="0"/>
        <charset val="1"/>
      </rPr>
      <t xml:space="preserve">(KRW)</t>
    </r>
  </si>
  <si>
    <t xml:space="preserve">비중</t>
  </si>
  <si>
    <t xml:space="preserve">예약금</t>
  </si>
  <si>
    <r>
      <rPr>
        <sz val="11"/>
        <rFont val="WenQuanYi Zen Hei"/>
        <family val="2"/>
      </rPr>
      <t xml:space="preserve">검증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요약 합계 − 지출내역 합계 </t>
    </r>
    <r>
      <rPr>
        <sz val="11"/>
        <rFont val="Arial"/>
        <family val="0"/>
        <charset val="1"/>
      </rPr>
      <t xml:space="preserve">(0</t>
    </r>
    <r>
      <rPr>
        <sz val="11"/>
        <rFont val="WenQuanYi Zen Hei"/>
        <family val="2"/>
      </rPr>
      <t xml:space="preserve">이어야 정상 — 분류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구분 칸이 비었거나 목록 외 값이면 </t>
    </r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이 아님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</si>
  <si>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입력 안내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지출내역 시트의 파란 글씨 칸</t>
    </r>
    <r>
      <rPr>
        <sz val="11"/>
        <rFont val="Arial"/>
        <family val="0"/>
        <charset val="1"/>
      </rPr>
      <t xml:space="preserve">(B~H, M~P)</t>
    </r>
    <r>
      <rPr>
        <sz val="11"/>
        <rFont val="WenQuanYi Zen Hei"/>
        <family val="2"/>
      </rPr>
      <t xml:space="preserve">만 입력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검정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초록 칸은 수식이며 </t>
    </r>
    <r>
      <rPr>
        <sz val="11"/>
        <rFont val="Arial"/>
        <family val="0"/>
        <charset val="1"/>
      </rPr>
      <t xml:space="preserve">61</t>
    </r>
    <r>
      <rPr>
        <sz val="11"/>
        <rFont val="WenQuanYi Zen Hei"/>
        <family val="2"/>
      </rPr>
      <t xml:space="preserve">행까지 미리 채워져 있음</t>
    </r>
    <r>
      <rPr>
        <sz val="11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</si>
</sst>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yyyy\-mm\-dd"/>
    <numFmt numFmtId="167" formatCode="#,##0.00"/>
    <numFmt numFmtId="168" formatCode="#,##0.0000"/>
    <numFmt numFmtId="169" formatCode="#,##0"/>
    <numFmt numFmtId="170" formatCode="\$#,##0.00"/>
    <numFmt numFmtId="171" formatCode="#,##0;\(#,##0\);\-"/>
    <numFmt numFmtId="172" formatCode="\$#,##0.00;&quot;($&quot;#,##0.00\);\-"/>
    <numFmt numFmtId="173" formatCode="0.0%;\(0.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name val="WenQuanYi Zen He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sz val="11"/>
      <color rgb="FF00800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sz val="11"/>
      <color theme="1"/>
      <name val="WenQuanYi Zen Hei"/>
      <family val="2"/>
    </font>
    <font>
      <i val="true"/>
      <sz val="11"/>
      <color rgb="FF595959"/>
      <name val="WenQuanYi Zen Hei"/>
      <family val="2"/>
    </font>
    <font>
      <i val="true"/>
      <sz val="11"/>
      <color rgb="FF595959"/>
      <name val="Arial"/>
      <family val="0"/>
      <charset val="1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sz val="11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7" min="6" style="0" width="9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5" min="13" style="0" width="10"/>
    <col collapsed="false" customWidth="true" hidden="false" outlineLevel="0" max="16" min="16" style="0" width="40"/>
  </cols>
  <sheetData>
    <row r="1" customFormat="false" ht="41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n">
        <f aca="false">IF(H2="","",ROW()-1)</f>
        <v>1</v>
      </c>
      <c r="B2" s="4" t="n">
        <v>46299</v>
      </c>
      <c r="C2" s="5"/>
      <c r="D2" s="6" t="s">
        <v>16</v>
      </c>
      <c r="E2" s="6" t="s">
        <v>17</v>
      </c>
      <c r="F2" s="6" t="s">
        <v>18</v>
      </c>
      <c r="G2" s="5" t="s">
        <v>19</v>
      </c>
      <c r="H2" s="7" t="n">
        <v>321966</v>
      </c>
      <c r="I2" s="8" t="n">
        <f aca="false">IF(H2="","",INDEX(환율!$B$2:$B$10,MATCH(G2,환율!$A$2:$A$10,0)))</f>
        <v>0.4</v>
      </c>
      <c r="J2" s="9" t="n">
        <f aca="false">IF(H2="","",H2*I2)</f>
        <v>128786.4</v>
      </c>
      <c r="K2" s="10" t="n">
        <f aca="false">IF(H2="","",J2/INDEX(환율!$B$2:$B$10,MATCH("USD",환율!$A$2:$A$10,0)))</f>
        <v>93.3234782608696</v>
      </c>
      <c r="L2" s="9" t="n">
        <f aca="false">IF(H2="","",J2/INDEX(환율!$B$2:$B$10,MATCH("MNT",환율!$A$2:$A$10,0)))</f>
        <v>321966</v>
      </c>
      <c r="M2" s="6" t="s">
        <v>20</v>
      </c>
      <c r="N2" s="6" t="s">
        <v>21</v>
      </c>
      <c r="O2" s="6" t="s">
        <v>22</v>
      </c>
      <c r="P2" s="5"/>
    </row>
    <row r="3" customFormat="false" ht="15" hidden="false" customHeight="false" outlineLevel="0" collapsed="false">
      <c r="A3" s="3" t="n">
        <f aca="false">IF(H3="","",ROW()-1)</f>
        <v>2</v>
      </c>
      <c r="B3" s="4" t="n">
        <v>46300</v>
      </c>
      <c r="C3" s="5" t="s">
        <v>23</v>
      </c>
      <c r="D3" s="5" t="s">
        <v>24</v>
      </c>
      <c r="E3" s="6" t="s">
        <v>17</v>
      </c>
      <c r="F3" s="6" t="s">
        <v>18</v>
      </c>
      <c r="G3" s="5" t="s">
        <v>19</v>
      </c>
      <c r="H3" s="7" t="n">
        <v>620094</v>
      </c>
      <c r="I3" s="8" t="n">
        <f aca="false">IF(H3="","",INDEX(환율!$B$2:$B$10,MATCH(G3,환율!$A$2:$A$10,0)))</f>
        <v>0.4</v>
      </c>
      <c r="J3" s="9" t="n">
        <f aca="false">IF(H3="","",H3*I3)</f>
        <v>248037.6</v>
      </c>
      <c r="K3" s="10" t="n">
        <f aca="false">IF(H3="","",J3/INDEX(환율!$B$2:$B$10,MATCH("USD",환율!$A$2:$A$10,0)))</f>
        <v>179.737391304348</v>
      </c>
      <c r="L3" s="9" t="n">
        <f aca="false">IF(H3="","",J3/INDEX(환율!$B$2:$B$10,MATCH("MNT",환율!$A$2:$A$10,0)))</f>
        <v>620094</v>
      </c>
      <c r="M3" s="6" t="s">
        <v>20</v>
      </c>
      <c r="N3" s="6" t="s">
        <v>21</v>
      </c>
      <c r="O3" s="6" t="s">
        <v>25</v>
      </c>
      <c r="P3" s="6" t="s">
        <v>26</v>
      </c>
    </row>
    <row r="4" customFormat="false" ht="15" hidden="false" customHeight="false" outlineLevel="0" collapsed="false">
      <c r="A4" s="3" t="n">
        <f aca="false">IF(H4="","",ROW()-1)</f>
        <v>3</v>
      </c>
      <c r="B4" s="4" t="n">
        <v>46300</v>
      </c>
      <c r="C4" s="5" t="s">
        <v>27</v>
      </c>
      <c r="D4" s="5" t="s">
        <v>28</v>
      </c>
      <c r="E4" s="6" t="s">
        <v>29</v>
      </c>
      <c r="F4" s="6" t="s">
        <v>30</v>
      </c>
      <c r="G4" s="5" t="s">
        <v>19</v>
      </c>
      <c r="H4" s="7" t="n">
        <v>11380</v>
      </c>
      <c r="I4" s="8" t="n">
        <f aca="false">IF(H4="","",INDEX(환율!$B$2:$B$10,MATCH(G4,환율!$A$2:$A$10,0)))</f>
        <v>0.4</v>
      </c>
      <c r="J4" s="9" t="n">
        <f aca="false">IF(H4="","",H4*I4)</f>
        <v>4552</v>
      </c>
      <c r="K4" s="10" t="n">
        <f aca="false">IF(H4="","",J4/INDEX(환율!$B$2:$B$10,MATCH("USD",환율!$A$2:$A$10,0)))</f>
        <v>3.29855072463768</v>
      </c>
      <c r="L4" s="9" t="n">
        <f aca="false">IF(H4="","",J4/INDEX(환율!$B$2:$B$10,MATCH("MNT",환율!$A$2:$A$10,0)))</f>
        <v>11380</v>
      </c>
      <c r="M4" s="6" t="s">
        <v>20</v>
      </c>
      <c r="N4" s="6" t="s">
        <v>31</v>
      </c>
      <c r="O4" s="6" t="s">
        <v>32</v>
      </c>
      <c r="P4" s="5"/>
    </row>
    <row r="5" customFormat="false" ht="15" hidden="false" customHeight="false" outlineLevel="0" collapsed="false">
      <c r="A5" s="3" t="n">
        <f aca="false">IF(H5="","",ROW()-1)</f>
        <v>4</v>
      </c>
      <c r="B5" s="4" t="n">
        <v>46303</v>
      </c>
      <c r="C5" s="5" t="s">
        <v>33</v>
      </c>
      <c r="D5" s="5" t="s">
        <v>34</v>
      </c>
      <c r="E5" s="6" t="s">
        <v>35</v>
      </c>
      <c r="F5" s="6" t="s">
        <v>30</v>
      </c>
      <c r="G5" s="5" t="s">
        <v>19</v>
      </c>
      <c r="H5" s="7" t="n">
        <v>12654</v>
      </c>
      <c r="I5" s="8" t="n">
        <f aca="false">IF(H5="","",INDEX(환율!$B$2:$B$10,MATCH(G5,환율!$A$2:$A$10,0)))</f>
        <v>0.4</v>
      </c>
      <c r="J5" s="9" t="n">
        <f aca="false">IF(H5="","",H5*I5)</f>
        <v>5061.6</v>
      </c>
      <c r="K5" s="10" t="n">
        <f aca="false">IF(H5="","",J5/INDEX(환율!$B$2:$B$10,MATCH("USD",환율!$A$2:$A$10,0)))</f>
        <v>3.66782608695652</v>
      </c>
      <c r="L5" s="9" t="n">
        <f aca="false">IF(H5="","",J5/INDEX(환율!$B$2:$B$10,MATCH("MNT",환율!$A$2:$A$10,0)))</f>
        <v>12654</v>
      </c>
      <c r="M5" s="6" t="s">
        <v>20</v>
      </c>
      <c r="N5" s="6" t="s">
        <v>31</v>
      </c>
      <c r="O5" s="6" t="s">
        <v>32</v>
      </c>
      <c r="P5" s="5"/>
    </row>
    <row r="6" customFormat="false" ht="15" hidden="false" customHeight="false" outlineLevel="0" collapsed="false">
      <c r="A6" s="3" t="n">
        <f aca="false">IF(H6="","",ROW()-1)</f>
        <v>5</v>
      </c>
      <c r="B6" s="4" t="n">
        <v>46303</v>
      </c>
      <c r="C6" s="5" t="s">
        <v>36</v>
      </c>
      <c r="D6" s="5" t="s">
        <v>37</v>
      </c>
      <c r="E6" s="6" t="s">
        <v>17</v>
      </c>
      <c r="F6" s="6" t="s">
        <v>18</v>
      </c>
      <c r="G6" s="5" t="s">
        <v>19</v>
      </c>
      <c r="H6" s="7" t="n">
        <v>96285</v>
      </c>
      <c r="I6" s="8" t="n">
        <f aca="false">IF(H6="","",INDEX(환율!$B$2:$B$10,MATCH(G6,환율!$A$2:$A$10,0)))</f>
        <v>0.4</v>
      </c>
      <c r="J6" s="9" t="n">
        <f aca="false">IF(H6="","",H6*I6)</f>
        <v>38514</v>
      </c>
      <c r="K6" s="10" t="n">
        <f aca="false">IF(H6="","",J6/INDEX(환율!$B$2:$B$10,MATCH("USD",환율!$A$2:$A$10,0)))</f>
        <v>27.9086956521739</v>
      </c>
      <c r="L6" s="9" t="n">
        <f aca="false">IF(H6="","",J6/INDEX(환율!$B$2:$B$10,MATCH("MNT",환율!$A$2:$A$10,0)))</f>
        <v>96285</v>
      </c>
      <c r="M6" s="6" t="s">
        <v>20</v>
      </c>
      <c r="N6" s="6" t="s">
        <v>21</v>
      </c>
      <c r="O6" s="6" t="s">
        <v>25</v>
      </c>
      <c r="P6" s="6" t="s">
        <v>38</v>
      </c>
    </row>
    <row r="7" customFormat="false" ht="15" hidden="false" customHeight="false" outlineLevel="0" collapsed="false">
      <c r="A7" s="3" t="n">
        <f aca="false">IF(H7="","",ROW()-1)</f>
        <v>6</v>
      </c>
      <c r="B7" s="4" t="n">
        <v>46303</v>
      </c>
      <c r="C7" s="5" t="s">
        <v>39</v>
      </c>
      <c r="D7" s="6" t="s">
        <v>40</v>
      </c>
      <c r="E7" s="6" t="s">
        <v>41</v>
      </c>
      <c r="F7" s="6" t="s">
        <v>30</v>
      </c>
      <c r="G7" s="5" t="s">
        <v>19</v>
      </c>
      <c r="H7" s="7" t="n">
        <v>1390</v>
      </c>
      <c r="I7" s="8" t="n">
        <f aca="false">IF(H7="","",INDEX(환율!$B$2:$B$10,MATCH(G7,환율!$A$2:$A$10,0)))</f>
        <v>0.4</v>
      </c>
      <c r="J7" s="9" t="n">
        <f aca="false">IF(H7="","",H7*I7)</f>
        <v>556</v>
      </c>
      <c r="K7" s="10" t="n">
        <f aca="false">IF(H7="","",J7/INDEX(환율!$B$2:$B$10,MATCH("USD",환율!$A$2:$A$10,0)))</f>
        <v>0.402898550724638</v>
      </c>
      <c r="L7" s="9" t="n">
        <f aca="false">IF(H7="","",J7/INDEX(환율!$B$2:$B$10,MATCH("MNT",환율!$A$2:$A$10,0)))</f>
        <v>1390</v>
      </c>
      <c r="M7" s="6" t="s">
        <v>20</v>
      </c>
      <c r="N7" s="6" t="s">
        <v>31</v>
      </c>
      <c r="O7" s="6" t="s">
        <v>32</v>
      </c>
      <c r="P7" s="5"/>
    </row>
    <row r="8" customFormat="false" ht="15" hidden="false" customHeight="false" outlineLevel="0" collapsed="false">
      <c r="A8" s="3" t="n">
        <f aca="false">IF(H8="","",ROW()-1)</f>
        <v>7</v>
      </c>
      <c r="B8" s="4" t="n">
        <v>46304</v>
      </c>
      <c r="C8" s="5" t="s">
        <v>42</v>
      </c>
      <c r="D8" s="5" t="s">
        <v>43</v>
      </c>
      <c r="E8" s="6" t="s">
        <v>44</v>
      </c>
      <c r="F8" s="6" t="s">
        <v>45</v>
      </c>
      <c r="G8" s="5" t="s">
        <v>19</v>
      </c>
      <c r="H8" s="7" t="n">
        <v>5850</v>
      </c>
      <c r="I8" s="8" t="n">
        <f aca="false">IF(H8="","",INDEX(환율!$B$2:$B$10,MATCH(G8,환율!$A$2:$A$10,0)))</f>
        <v>0.4</v>
      </c>
      <c r="J8" s="9" t="n">
        <f aca="false">IF(H8="","",H8*I8)</f>
        <v>2340</v>
      </c>
      <c r="K8" s="10" t="n">
        <f aca="false">IF(H8="","",J8/INDEX(환율!$B$2:$B$10,MATCH("USD",환율!$A$2:$A$10,0)))</f>
        <v>1.69565217391304</v>
      </c>
      <c r="L8" s="9" t="n">
        <f aca="false">IF(H8="","",J8/INDEX(환율!$B$2:$B$10,MATCH("MNT",환율!$A$2:$A$10,0)))</f>
        <v>5850</v>
      </c>
      <c r="M8" s="6" t="s">
        <v>20</v>
      </c>
      <c r="N8" s="6" t="s">
        <v>21</v>
      </c>
      <c r="O8" s="6" t="s">
        <v>32</v>
      </c>
      <c r="P8" s="5"/>
    </row>
    <row r="9" customFormat="false" ht="15" hidden="false" customHeight="false" outlineLevel="0" collapsed="false">
      <c r="A9" s="3" t="n">
        <f aca="false">IF(H9="","",ROW()-1)</f>
        <v>8</v>
      </c>
      <c r="B9" s="4" t="n">
        <v>46304</v>
      </c>
      <c r="C9" s="5" t="s">
        <v>46</v>
      </c>
      <c r="D9" s="5" t="s">
        <v>47</v>
      </c>
      <c r="E9" s="6" t="s">
        <v>48</v>
      </c>
      <c r="F9" s="6" t="s">
        <v>30</v>
      </c>
      <c r="G9" s="5" t="s">
        <v>19</v>
      </c>
      <c r="H9" s="7" t="n">
        <v>43600</v>
      </c>
      <c r="I9" s="8" t="n">
        <f aca="false">IF(H9="","",INDEX(환율!$B$2:$B$10,MATCH(G9,환율!$A$2:$A$10,0)))</f>
        <v>0.4</v>
      </c>
      <c r="J9" s="9" t="n">
        <f aca="false">IF(H9="","",H9*I9)</f>
        <v>17440</v>
      </c>
      <c r="K9" s="10" t="n">
        <f aca="false">IF(H9="","",J9/INDEX(환율!$B$2:$B$10,MATCH("USD",환율!$A$2:$A$10,0)))</f>
        <v>12.6376811594203</v>
      </c>
      <c r="L9" s="9" t="n">
        <f aca="false">IF(H9="","",J9/INDEX(환율!$B$2:$B$10,MATCH("MNT",환율!$A$2:$A$10,0)))</f>
        <v>43600</v>
      </c>
      <c r="M9" s="6" t="s">
        <v>20</v>
      </c>
      <c r="N9" s="6" t="s">
        <v>31</v>
      </c>
      <c r="O9" s="6" t="s">
        <v>32</v>
      </c>
      <c r="P9" s="5"/>
    </row>
    <row r="10" customFormat="false" ht="15" hidden="false" customHeight="false" outlineLevel="0" collapsed="false">
      <c r="A10" s="3" t="n">
        <f aca="false">IF(H10="","",ROW()-1)</f>
        <v>9</v>
      </c>
      <c r="B10" s="4"/>
      <c r="C10" s="5"/>
      <c r="D10" s="5"/>
      <c r="E10" s="6" t="s">
        <v>49</v>
      </c>
      <c r="F10" s="6" t="s">
        <v>18</v>
      </c>
      <c r="G10" s="5" t="s">
        <v>19</v>
      </c>
      <c r="H10" s="7" t="n">
        <v>10000</v>
      </c>
      <c r="I10" s="8" t="n">
        <f aca="false">IF(H10="","",INDEX(환율!$B$2:$B$10,MATCH(G10,환율!$A$2:$A$10,0)))</f>
        <v>0.4</v>
      </c>
      <c r="J10" s="9" t="n">
        <f aca="false">IF(H10="","",H10*I10)</f>
        <v>4000</v>
      </c>
      <c r="K10" s="10" t="n">
        <f aca="false">IF(H10="","",J10/INDEX(환율!$B$2:$B$10,MATCH("USD",환율!$A$2:$A$10,0)))</f>
        <v>2.89855072463768</v>
      </c>
      <c r="L10" s="9" t="n">
        <f aca="false">IF(H10="","",J10/INDEX(환율!$B$2:$B$10,MATCH("MNT",환율!$A$2:$A$10,0)))</f>
        <v>10000</v>
      </c>
      <c r="M10" s="6" t="s">
        <v>20</v>
      </c>
      <c r="N10" s="6" t="s">
        <v>21</v>
      </c>
      <c r="O10" s="6" t="s">
        <v>22</v>
      </c>
      <c r="P10" s="6" t="s">
        <v>50</v>
      </c>
    </row>
    <row r="11" customFormat="false" ht="15" hidden="false" customHeight="false" outlineLevel="0" collapsed="false">
      <c r="A11" s="3" t="n">
        <f aca="false">IF(H11="","",ROW()-1)</f>
        <v>10</v>
      </c>
      <c r="B11" s="4"/>
      <c r="C11" s="5"/>
      <c r="D11" s="5"/>
      <c r="E11" s="6" t="s">
        <v>51</v>
      </c>
      <c r="F11" s="6" t="s">
        <v>18</v>
      </c>
      <c r="G11" s="5" t="s">
        <v>19</v>
      </c>
      <c r="H11" s="7" t="n">
        <v>24900</v>
      </c>
      <c r="I11" s="8" t="n">
        <f aca="false">IF(H11="","",INDEX(환율!$B$2:$B$10,MATCH(G11,환율!$A$2:$A$10,0)))</f>
        <v>0.4</v>
      </c>
      <c r="J11" s="9" t="n">
        <f aca="false">IF(H11="","",H11*I11)</f>
        <v>9960</v>
      </c>
      <c r="K11" s="10" t="n">
        <f aca="false">IF(H11="","",J11/INDEX(환율!$B$2:$B$10,MATCH("USD",환율!$A$2:$A$10,0)))</f>
        <v>7.21739130434783</v>
      </c>
      <c r="L11" s="9" t="n">
        <f aca="false">IF(H11="","",J11/INDEX(환율!$B$2:$B$10,MATCH("MNT",환율!$A$2:$A$10,0)))</f>
        <v>24900</v>
      </c>
      <c r="M11" s="6" t="s">
        <v>20</v>
      </c>
      <c r="N11" s="6" t="s">
        <v>31</v>
      </c>
      <c r="O11" s="6" t="s">
        <v>22</v>
      </c>
      <c r="P11" s="6" t="s">
        <v>52</v>
      </c>
    </row>
    <row r="12" customFormat="false" ht="15" hidden="false" customHeight="false" outlineLevel="0" collapsed="false">
      <c r="A12" s="3" t="n">
        <f aca="false">IF(H12="","",ROW()-1)</f>
        <v>11</v>
      </c>
      <c r="B12" s="4"/>
      <c r="C12" s="5"/>
      <c r="D12" s="5"/>
      <c r="E12" s="6" t="s">
        <v>53</v>
      </c>
      <c r="F12" s="6" t="s">
        <v>18</v>
      </c>
      <c r="G12" s="5" t="s">
        <v>19</v>
      </c>
      <c r="H12" s="7" t="n">
        <v>72000</v>
      </c>
      <c r="I12" s="8" t="n">
        <f aca="false">IF(H12="","",INDEX(환율!$B$2:$B$10,MATCH(G12,환율!$A$2:$A$10,0)))</f>
        <v>0.4</v>
      </c>
      <c r="J12" s="9" t="n">
        <f aca="false">IF(H12="","",H12*I12)</f>
        <v>28800</v>
      </c>
      <c r="K12" s="10" t="n">
        <f aca="false">IF(H12="","",J12/INDEX(환율!$B$2:$B$10,MATCH("USD",환율!$A$2:$A$10,0)))</f>
        <v>20.8695652173913</v>
      </c>
      <c r="L12" s="9" t="n">
        <f aca="false">IF(H12="","",J12/INDEX(환율!$B$2:$B$10,MATCH("MNT",환율!$A$2:$A$10,0)))</f>
        <v>72000</v>
      </c>
      <c r="M12" s="6" t="s">
        <v>20</v>
      </c>
      <c r="N12" s="6" t="s">
        <v>31</v>
      </c>
      <c r="O12" s="6" t="s">
        <v>22</v>
      </c>
      <c r="P12" s="6" t="s">
        <v>50</v>
      </c>
    </row>
    <row r="13" customFormat="false" ht="15" hidden="false" customHeight="false" outlineLevel="0" collapsed="false">
      <c r="A13" s="3" t="n">
        <f aca="false">IF(H13="","",ROW()-1)</f>
        <v>12</v>
      </c>
      <c r="B13" s="4"/>
      <c r="C13" s="5"/>
      <c r="D13" s="5"/>
      <c r="E13" s="6" t="s">
        <v>54</v>
      </c>
      <c r="F13" s="6" t="s">
        <v>18</v>
      </c>
      <c r="G13" s="5" t="s">
        <v>19</v>
      </c>
      <c r="H13" s="7" t="n">
        <v>9900</v>
      </c>
      <c r="I13" s="8" t="n">
        <f aca="false">IF(H13="","",INDEX(환율!$B$2:$B$10,MATCH(G13,환율!$A$2:$A$10,0)))</f>
        <v>0.4</v>
      </c>
      <c r="J13" s="9" t="n">
        <f aca="false">IF(H13="","",H13*I13)</f>
        <v>3960</v>
      </c>
      <c r="K13" s="10" t="n">
        <f aca="false">IF(H13="","",J13/INDEX(환율!$B$2:$B$10,MATCH("USD",환율!$A$2:$A$10,0)))</f>
        <v>2.8695652173913</v>
      </c>
      <c r="L13" s="9" t="n">
        <f aca="false">IF(H13="","",J13/INDEX(환율!$B$2:$B$10,MATCH("MNT",환율!$A$2:$A$10,0)))</f>
        <v>9900</v>
      </c>
      <c r="M13" s="6" t="s">
        <v>20</v>
      </c>
      <c r="N13" s="6" t="s">
        <v>31</v>
      </c>
      <c r="O13" s="6" t="s">
        <v>22</v>
      </c>
      <c r="P13" s="6" t="s">
        <v>50</v>
      </c>
    </row>
    <row r="14" customFormat="false" ht="15" hidden="false" customHeight="false" outlineLevel="0" collapsed="false">
      <c r="A14" s="3" t="n">
        <f aca="false">IF(H14="","",ROW()-1)</f>
        <v>13</v>
      </c>
      <c r="B14" s="4"/>
      <c r="C14" s="5"/>
      <c r="D14" s="5" t="s">
        <v>55</v>
      </c>
      <c r="E14" s="6" t="s">
        <v>56</v>
      </c>
      <c r="F14" s="6" t="s">
        <v>57</v>
      </c>
      <c r="G14" s="5" t="s">
        <v>19</v>
      </c>
      <c r="H14" s="7" t="n">
        <v>286800</v>
      </c>
      <c r="I14" s="8" t="n">
        <f aca="false">IF(H14="","",INDEX(환율!$B$2:$B$10,MATCH(G14,환율!$A$2:$A$10,0)))</f>
        <v>0.4</v>
      </c>
      <c r="J14" s="9" t="n">
        <f aca="false">IF(H14="","",H14*I14)</f>
        <v>114720</v>
      </c>
      <c r="K14" s="10" t="n">
        <f aca="false">IF(H14="","",J14/INDEX(환율!$B$2:$B$10,MATCH("USD",환율!$A$2:$A$10,0)))</f>
        <v>83.1304347826087</v>
      </c>
      <c r="L14" s="9" t="n">
        <f aca="false">IF(H14="","",J14/INDEX(환율!$B$2:$B$10,MATCH("MNT",환율!$A$2:$A$10,0)))</f>
        <v>286800</v>
      </c>
      <c r="M14" s="6" t="s">
        <v>20</v>
      </c>
      <c r="N14" s="6" t="s">
        <v>21</v>
      </c>
      <c r="O14" s="6" t="s">
        <v>32</v>
      </c>
      <c r="P14" s="6" t="s">
        <v>58</v>
      </c>
    </row>
    <row r="15" customFormat="false" ht="15" hidden="false" customHeight="false" outlineLevel="0" collapsed="false">
      <c r="A15" s="3" t="str">
        <f aca="false">IF(H15="","",ROW()-1)</f>
        <v/>
      </c>
      <c r="B15" s="4"/>
      <c r="C15" s="5"/>
      <c r="D15" s="5"/>
      <c r="E15" s="5"/>
      <c r="F15" s="6"/>
      <c r="G15" s="5"/>
      <c r="H15" s="7"/>
      <c r="I15" s="8" t="str">
        <f aca="false">IF(H15="","",INDEX(환율!$B$2:$B$10,MATCH(G15,환율!$A$2:$A$10,0)))</f>
        <v/>
      </c>
      <c r="J15" s="9" t="str">
        <f aca="false">IF(H15="","",H15*I15)</f>
        <v/>
      </c>
      <c r="K15" s="10" t="str">
        <f aca="false">IF(H15="","",J15/INDEX(환율!$B$2:$B$10,MATCH("USD",환율!$A$2:$A$10,0)))</f>
        <v/>
      </c>
      <c r="L15" s="9" t="str">
        <f aca="false">IF(H15="","",J15/INDEX(환율!$B$2:$B$10,MATCH("MNT",환율!$A$2:$A$10,0)))</f>
        <v/>
      </c>
      <c r="M15" s="6"/>
      <c r="N15" s="6"/>
      <c r="O15" s="6"/>
      <c r="P15" s="5"/>
    </row>
    <row r="16" customFormat="false" ht="15" hidden="false" customHeight="false" outlineLevel="0" collapsed="false">
      <c r="A16" s="3" t="str">
        <f aca="false">IF(H16="","",ROW()-1)</f>
        <v/>
      </c>
      <c r="B16" s="4"/>
      <c r="C16" s="5"/>
      <c r="D16" s="5"/>
      <c r="E16" s="5"/>
      <c r="F16" s="6"/>
      <c r="G16" s="5"/>
      <c r="H16" s="7"/>
      <c r="I16" s="8" t="str">
        <f aca="false">IF(H16="","",INDEX(환율!$B$2:$B$10,MATCH(G16,환율!$A$2:$A$10,0)))</f>
        <v/>
      </c>
      <c r="J16" s="9" t="str">
        <f aca="false">IF(H16="","",H16*I16)</f>
        <v/>
      </c>
      <c r="K16" s="10" t="str">
        <f aca="false">IF(H16="","",J16/INDEX(환율!$B$2:$B$10,MATCH("USD",환율!$A$2:$A$10,0)))</f>
        <v/>
      </c>
      <c r="L16" s="9" t="str">
        <f aca="false">IF(H16="","",J16/INDEX(환율!$B$2:$B$10,MATCH("MNT",환율!$A$2:$A$10,0)))</f>
        <v/>
      </c>
      <c r="M16" s="6"/>
      <c r="N16" s="6"/>
      <c r="O16" s="6"/>
      <c r="P16" s="5"/>
    </row>
    <row r="17" customFormat="false" ht="15" hidden="false" customHeight="false" outlineLevel="0" collapsed="false">
      <c r="A17" s="3" t="str">
        <f aca="false">IF(H17="","",ROW()-1)</f>
        <v/>
      </c>
      <c r="B17" s="4"/>
      <c r="C17" s="5"/>
      <c r="D17" s="5"/>
      <c r="E17" s="5"/>
      <c r="F17" s="6"/>
      <c r="G17" s="5"/>
      <c r="H17" s="7"/>
      <c r="I17" s="8" t="str">
        <f aca="false">IF(H17="","",INDEX(환율!$B$2:$B$10,MATCH(G17,환율!$A$2:$A$10,0)))</f>
        <v/>
      </c>
      <c r="J17" s="9" t="str">
        <f aca="false">IF(H17="","",H17*I17)</f>
        <v/>
      </c>
      <c r="K17" s="10" t="str">
        <f aca="false">IF(H17="","",J17/INDEX(환율!$B$2:$B$10,MATCH("USD",환율!$A$2:$A$10,0)))</f>
        <v/>
      </c>
      <c r="L17" s="9" t="str">
        <f aca="false">IF(H17="","",J17/INDEX(환율!$B$2:$B$10,MATCH("MNT",환율!$A$2:$A$10,0)))</f>
        <v/>
      </c>
      <c r="M17" s="6"/>
      <c r="N17" s="6"/>
      <c r="O17" s="6"/>
      <c r="P17" s="5"/>
    </row>
    <row r="18" customFormat="false" ht="15" hidden="false" customHeight="false" outlineLevel="0" collapsed="false">
      <c r="A18" s="3" t="str">
        <f aca="false">IF(H18="","",ROW()-1)</f>
        <v/>
      </c>
      <c r="B18" s="4"/>
      <c r="C18" s="5"/>
      <c r="D18" s="5"/>
      <c r="E18" s="5"/>
      <c r="F18" s="6"/>
      <c r="G18" s="5"/>
      <c r="H18" s="7"/>
      <c r="I18" s="8" t="str">
        <f aca="false">IF(H18="","",INDEX(환율!$B$2:$B$10,MATCH(G18,환율!$A$2:$A$10,0)))</f>
        <v/>
      </c>
      <c r="J18" s="9" t="str">
        <f aca="false">IF(H18="","",H18*I18)</f>
        <v/>
      </c>
      <c r="K18" s="10" t="str">
        <f aca="false">IF(H18="","",J18/INDEX(환율!$B$2:$B$10,MATCH("USD",환율!$A$2:$A$10,0)))</f>
        <v/>
      </c>
      <c r="L18" s="9" t="str">
        <f aca="false">IF(H18="","",J18/INDEX(환율!$B$2:$B$10,MATCH("MNT",환율!$A$2:$A$10,0)))</f>
        <v/>
      </c>
      <c r="M18" s="6"/>
      <c r="N18" s="6"/>
      <c r="O18" s="6"/>
      <c r="P18" s="5"/>
    </row>
    <row r="19" customFormat="false" ht="15" hidden="false" customHeight="false" outlineLevel="0" collapsed="false">
      <c r="A19" s="3" t="str">
        <f aca="false">IF(H19="","",ROW()-1)</f>
        <v/>
      </c>
      <c r="B19" s="4"/>
      <c r="C19" s="5"/>
      <c r="D19" s="5"/>
      <c r="E19" s="5"/>
      <c r="F19" s="6"/>
      <c r="G19" s="5"/>
      <c r="H19" s="7"/>
      <c r="I19" s="8" t="str">
        <f aca="false">IF(H19="","",INDEX(환율!$B$2:$B$10,MATCH(G19,환율!$A$2:$A$10,0)))</f>
        <v/>
      </c>
      <c r="J19" s="9" t="str">
        <f aca="false">IF(H19="","",H19*I19)</f>
        <v/>
      </c>
      <c r="K19" s="10" t="str">
        <f aca="false">IF(H19="","",J19/INDEX(환율!$B$2:$B$10,MATCH("USD",환율!$A$2:$A$10,0)))</f>
        <v/>
      </c>
      <c r="L19" s="9" t="str">
        <f aca="false">IF(H19="","",J19/INDEX(환율!$B$2:$B$10,MATCH("MNT",환율!$A$2:$A$10,0)))</f>
        <v/>
      </c>
      <c r="M19" s="6"/>
      <c r="N19" s="6"/>
      <c r="O19" s="6"/>
      <c r="P19" s="5"/>
    </row>
    <row r="20" customFormat="false" ht="15" hidden="false" customHeight="false" outlineLevel="0" collapsed="false">
      <c r="A20" s="3" t="str">
        <f aca="false">IF(H20="","",ROW()-1)</f>
        <v/>
      </c>
      <c r="B20" s="4"/>
      <c r="C20" s="5"/>
      <c r="D20" s="5"/>
      <c r="E20" s="5"/>
      <c r="F20" s="6"/>
      <c r="G20" s="5"/>
      <c r="H20" s="7"/>
      <c r="I20" s="8" t="str">
        <f aca="false">IF(H20="","",INDEX(환율!$B$2:$B$10,MATCH(G20,환율!$A$2:$A$10,0)))</f>
        <v/>
      </c>
      <c r="J20" s="9" t="str">
        <f aca="false">IF(H20="","",H20*I20)</f>
        <v/>
      </c>
      <c r="K20" s="10" t="str">
        <f aca="false">IF(H20="","",J20/INDEX(환율!$B$2:$B$10,MATCH("USD",환율!$A$2:$A$10,0)))</f>
        <v/>
      </c>
      <c r="L20" s="9" t="str">
        <f aca="false">IF(H20="","",J20/INDEX(환율!$B$2:$B$10,MATCH("MNT",환율!$A$2:$A$10,0)))</f>
        <v/>
      </c>
      <c r="M20" s="6"/>
      <c r="N20" s="6"/>
      <c r="O20" s="6"/>
      <c r="P20" s="5"/>
    </row>
    <row r="21" customFormat="false" ht="15" hidden="false" customHeight="false" outlineLevel="0" collapsed="false">
      <c r="A21" s="3" t="str">
        <f aca="false">IF(H21="","",ROW()-1)</f>
        <v/>
      </c>
      <c r="B21" s="4"/>
      <c r="C21" s="5"/>
      <c r="D21" s="5"/>
      <c r="E21" s="5"/>
      <c r="F21" s="6"/>
      <c r="G21" s="5"/>
      <c r="H21" s="7"/>
      <c r="I21" s="8" t="str">
        <f aca="false">IF(H21="","",INDEX(환율!$B$2:$B$10,MATCH(G21,환율!$A$2:$A$10,0)))</f>
        <v/>
      </c>
      <c r="J21" s="9" t="str">
        <f aca="false">IF(H21="","",H21*I21)</f>
        <v/>
      </c>
      <c r="K21" s="10" t="str">
        <f aca="false">IF(H21="","",J21/INDEX(환율!$B$2:$B$10,MATCH("USD",환율!$A$2:$A$10,0)))</f>
        <v/>
      </c>
      <c r="L21" s="9" t="str">
        <f aca="false">IF(H21="","",J21/INDEX(환율!$B$2:$B$10,MATCH("MNT",환율!$A$2:$A$10,0)))</f>
        <v/>
      </c>
      <c r="M21" s="6"/>
      <c r="N21" s="6"/>
      <c r="O21" s="6"/>
      <c r="P21" s="5"/>
    </row>
    <row r="22" customFormat="false" ht="15" hidden="false" customHeight="false" outlineLevel="0" collapsed="false">
      <c r="A22" s="3" t="str">
        <f aca="false">IF(H22="","",ROW()-1)</f>
        <v/>
      </c>
      <c r="B22" s="4"/>
      <c r="C22" s="5"/>
      <c r="D22" s="5"/>
      <c r="E22" s="5"/>
      <c r="F22" s="6"/>
      <c r="G22" s="5"/>
      <c r="H22" s="7"/>
      <c r="I22" s="8" t="str">
        <f aca="false">IF(H22="","",INDEX(환율!$B$2:$B$10,MATCH(G22,환율!$A$2:$A$10,0)))</f>
        <v/>
      </c>
      <c r="J22" s="9" t="str">
        <f aca="false">IF(H22="","",H22*I22)</f>
        <v/>
      </c>
      <c r="K22" s="10" t="str">
        <f aca="false">IF(H22="","",J22/INDEX(환율!$B$2:$B$10,MATCH("USD",환율!$A$2:$A$10,0)))</f>
        <v/>
      </c>
      <c r="L22" s="9" t="str">
        <f aca="false">IF(H22="","",J22/INDEX(환율!$B$2:$B$10,MATCH("MNT",환율!$A$2:$A$10,0)))</f>
        <v/>
      </c>
      <c r="M22" s="6"/>
      <c r="N22" s="6"/>
      <c r="O22" s="6"/>
      <c r="P22" s="5"/>
    </row>
    <row r="23" customFormat="false" ht="15" hidden="false" customHeight="false" outlineLevel="0" collapsed="false">
      <c r="A23" s="3" t="str">
        <f aca="false">IF(H23="","",ROW()-1)</f>
        <v/>
      </c>
      <c r="B23" s="4"/>
      <c r="C23" s="5"/>
      <c r="D23" s="5"/>
      <c r="E23" s="5"/>
      <c r="F23" s="6"/>
      <c r="G23" s="5"/>
      <c r="H23" s="7"/>
      <c r="I23" s="8" t="str">
        <f aca="false">IF(H23="","",INDEX(환율!$B$2:$B$10,MATCH(G23,환율!$A$2:$A$10,0)))</f>
        <v/>
      </c>
      <c r="J23" s="9" t="str">
        <f aca="false">IF(H23="","",H23*I23)</f>
        <v/>
      </c>
      <c r="K23" s="10" t="str">
        <f aca="false">IF(H23="","",J23/INDEX(환율!$B$2:$B$10,MATCH("USD",환율!$A$2:$A$10,0)))</f>
        <v/>
      </c>
      <c r="L23" s="9" t="str">
        <f aca="false">IF(H23="","",J23/INDEX(환율!$B$2:$B$10,MATCH("MNT",환율!$A$2:$A$10,0)))</f>
        <v/>
      </c>
      <c r="M23" s="6"/>
      <c r="N23" s="6"/>
      <c r="O23" s="6"/>
      <c r="P23" s="5"/>
    </row>
    <row r="24" customFormat="false" ht="15" hidden="false" customHeight="false" outlineLevel="0" collapsed="false">
      <c r="A24" s="3" t="str">
        <f aca="false">IF(H24="","",ROW()-1)</f>
        <v/>
      </c>
      <c r="B24" s="4"/>
      <c r="C24" s="5"/>
      <c r="D24" s="5"/>
      <c r="E24" s="5"/>
      <c r="F24" s="6"/>
      <c r="G24" s="5"/>
      <c r="H24" s="7"/>
      <c r="I24" s="8" t="str">
        <f aca="false">IF(H24="","",INDEX(환율!$B$2:$B$10,MATCH(G24,환율!$A$2:$A$10,0)))</f>
        <v/>
      </c>
      <c r="J24" s="9" t="str">
        <f aca="false">IF(H24="","",H24*I24)</f>
        <v/>
      </c>
      <c r="K24" s="10" t="str">
        <f aca="false">IF(H24="","",J24/INDEX(환율!$B$2:$B$10,MATCH("USD",환율!$A$2:$A$10,0)))</f>
        <v/>
      </c>
      <c r="L24" s="9" t="str">
        <f aca="false">IF(H24="","",J24/INDEX(환율!$B$2:$B$10,MATCH("MNT",환율!$A$2:$A$10,0)))</f>
        <v/>
      </c>
      <c r="M24" s="6"/>
      <c r="N24" s="6"/>
      <c r="O24" s="6"/>
      <c r="P24" s="5"/>
    </row>
    <row r="25" customFormat="false" ht="15" hidden="false" customHeight="false" outlineLevel="0" collapsed="false">
      <c r="A25" s="3" t="str">
        <f aca="false">IF(H25="","",ROW()-1)</f>
        <v/>
      </c>
      <c r="B25" s="4"/>
      <c r="C25" s="5"/>
      <c r="D25" s="5"/>
      <c r="E25" s="5"/>
      <c r="F25" s="6"/>
      <c r="G25" s="5"/>
      <c r="H25" s="7"/>
      <c r="I25" s="8" t="str">
        <f aca="false">IF(H25="","",INDEX(환율!$B$2:$B$10,MATCH(G25,환율!$A$2:$A$10,0)))</f>
        <v/>
      </c>
      <c r="J25" s="9" t="str">
        <f aca="false">IF(H25="","",H25*I25)</f>
        <v/>
      </c>
      <c r="K25" s="10" t="str">
        <f aca="false">IF(H25="","",J25/INDEX(환율!$B$2:$B$10,MATCH("USD",환율!$A$2:$A$10,0)))</f>
        <v/>
      </c>
      <c r="L25" s="9" t="str">
        <f aca="false">IF(H25="","",J25/INDEX(환율!$B$2:$B$10,MATCH("MNT",환율!$A$2:$A$10,0)))</f>
        <v/>
      </c>
      <c r="M25" s="6"/>
      <c r="N25" s="6"/>
      <c r="O25" s="6"/>
      <c r="P25" s="5"/>
    </row>
    <row r="26" customFormat="false" ht="15" hidden="false" customHeight="false" outlineLevel="0" collapsed="false">
      <c r="A26" s="3" t="str">
        <f aca="false">IF(H26="","",ROW()-1)</f>
        <v/>
      </c>
      <c r="B26" s="4"/>
      <c r="C26" s="5"/>
      <c r="D26" s="5"/>
      <c r="E26" s="5"/>
      <c r="F26" s="6"/>
      <c r="G26" s="5"/>
      <c r="H26" s="7"/>
      <c r="I26" s="8" t="str">
        <f aca="false">IF(H26="","",INDEX(환율!$B$2:$B$10,MATCH(G26,환율!$A$2:$A$10,0)))</f>
        <v/>
      </c>
      <c r="J26" s="9" t="str">
        <f aca="false">IF(H26="","",H26*I26)</f>
        <v/>
      </c>
      <c r="K26" s="10" t="str">
        <f aca="false">IF(H26="","",J26/INDEX(환율!$B$2:$B$10,MATCH("USD",환율!$A$2:$A$10,0)))</f>
        <v/>
      </c>
      <c r="L26" s="9" t="str">
        <f aca="false">IF(H26="","",J26/INDEX(환율!$B$2:$B$10,MATCH("MNT",환율!$A$2:$A$10,0)))</f>
        <v/>
      </c>
      <c r="M26" s="6"/>
      <c r="N26" s="6"/>
      <c r="O26" s="6"/>
      <c r="P26" s="5"/>
    </row>
    <row r="27" customFormat="false" ht="15" hidden="false" customHeight="false" outlineLevel="0" collapsed="false">
      <c r="A27" s="3" t="str">
        <f aca="false">IF(H27="","",ROW()-1)</f>
        <v/>
      </c>
      <c r="B27" s="4"/>
      <c r="C27" s="5"/>
      <c r="D27" s="5"/>
      <c r="E27" s="5"/>
      <c r="F27" s="6"/>
      <c r="G27" s="5"/>
      <c r="H27" s="7"/>
      <c r="I27" s="8" t="str">
        <f aca="false">IF(H27="","",INDEX(환율!$B$2:$B$10,MATCH(G27,환율!$A$2:$A$10,0)))</f>
        <v/>
      </c>
      <c r="J27" s="9" t="str">
        <f aca="false">IF(H27="","",H27*I27)</f>
        <v/>
      </c>
      <c r="K27" s="10" t="str">
        <f aca="false">IF(H27="","",J27/INDEX(환율!$B$2:$B$10,MATCH("USD",환율!$A$2:$A$10,0)))</f>
        <v/>
      </c>
      <c r="L27" s="9" t="str">
        <f aca="false">IF(H27="","",J27/INDEX(환율!$B$2:$B$10,MATCH("MNT",환율!$A$2:$A$10,0)))</f>
        <v/>
      </c>
      <c r="M27" s="6"/>
      <c r="N27" s="6"/>
      <c r="O27" s="6"/>
      <c r="P27" s="5"/>
    </row>
    <row r="28" customFormat="false" ht="15" hidden="false" customHeight="false" outlineLevel="0" collapsed="false">
      <c r="A28" s="3" t="str">
        <f aca="false">IF(H28="","",ROW()-1)</f>
        <v/>
      </c>
      <c r="B28" s="4"/>
      <c r="C28" s="5"/>
      <c r="D28" s="5"/>
      <c r="E28" s="5"/>
      <c r="F28" s="6"/>
      <c r="G28" s="5"/>
      <c r="H28" s="7"/>
      <c r="I28" s="8" t="str">
        <f aca="false">IF(H28="","",INDEX(환율!$B$2:$B$10,MATCH(G28,환율!$A$2:$A$10,0)))</f>
        <v/>
      </c>
      <c r="J28" s="9" t="str">
        <f aca="false">IF(H28="","",H28*I28)</f>
        <v/>
      </c>
      <c r="K28" s="10" t="str">
        <f aca="false">IF(H28="","",J28/INDEX(환율!$B$2:$B$10,MATCH("USD",환율!$A$2:$A$10,0)))</f>
        <v/>
      </c>
      <c r="L28" s="9" t="str">
        <f aca="false">IF(H28="","",J28/INDEX(환율!$B$2:$B$10,MATCH("MNT",환율!$A$2:$A$10,0)))</f>
        <v/>
      </c>
      <c r="M28" s="6"/>
      <c r="N28" s="6"/>
      <c r="O28" s="6"/>
      <c r="P28" s="5"/>
    </row>
    <row r="29" customFormat="false" ht="15" hidden="false" customHeight="false" outlineLevel="0" collapsed="false">
      <c r="A29" s="3" t="str">
        <f aca="false">IF(H29="","",ROW()-1)</f>
        <v/>
      </c>
      <c r="B29" s="4"/>
      <c r="C29" s="5"/>
      <c r="D29" s="5"/>
      <c r="E29" s="5"/>
      <c r="F29" s="6"/>
      <c r="G29" s="5"/>
      <c r="H29" s="7"/>
      <c r="I29" s="8" t="str">
        <f aca="false">IF(H29="","",INDEX(환율!$B$2:$B$10,MATCH(G29,환율!$A$2:$A$10,0)))</f>
        <v/>
      </c>
      <c r="J29" s="9" t="str">
        <f aca="false">IF(H29="","",H29*I29)</f>
        <v/>
      </c>
      <c r="K29" s="10" t="str">
        <f aca="false">IF(H29="","",J29/INDEX(환율!$B$2:$B$10,MATCH("USD",환율!$A$2:$A$10,0)))</f>
        <v/>
      </c>
      <c r="L29" s="9" t="str">
        <f aca="false">IF(H29="","",J29/INDEX(환율!$B$2:$B$10,MATCH("MNT",환율!$A$2:$A$10,0)))</f>
        <v/>
      </c>
      <c r="M29" s="6"/>
      <c r="N29" s="6"/>
      <c r="O29" s="6"/>
      <c r="P29" s="5"/>
    </row>
    <row r="30" customFormat="false" ht="15" hidden="false" customHeight="false" outlineLevel="0" collapsed="false">
      <c r="A30" s="3" t="str">
        <f aca="false">IF(H30="","",ROW()-1)</f>
        <v/>
      </c>
      <c r="B30" s="4"/>
      <c r="C30" s="5"/>
      <c r="D30" s="5"/>
      <c r="E30" s="5"/>
      <c r="F30" s="6"/>
      <c r="G30" s="5"/>
      <c r="H30" s="7"/>
      <c r="I30" s="8" t="str">
        <f aca="false">IF(H30="","",INDEX(환율!$B$2:$B$10,MATCH(G30,환율!$A$2:$A$10,0)))</f>
        <v/>
      </c>
      <c r="J30" s="9" t="str">
        <f aca="false">IF(H30="","",H30*I30)</f>
        <v/>
      </c>
      <c r="K30" s="10" t="str">
        <f aca="false">IF(H30="","",J30/INDEX(환율!$B$2:$B$10,MATCH("USD",환율!$A$2:$A$10,0)))</f>
        <v/>
      </c>
      <c r="L30" s="9" t="str">
        <f aca="false">IF(H30="","",J30/INDEX(환율!$B$2:$B$10,MATCH("MNT",환율!$A$2:$A$10,0)))</f>
        <v/>
      </c>
      <c r="M30" s="6"/>
      <c r="N30" s="6"/>
      <c r="O30" s="6"/>
      <c r="P30" s="5"/>
    </row>
    <row r="31" customFormat="false" ht="15" hidden="false" customHeight="false" outlineLevel="0" collapsed="false">
      <c r="A31" s="3" t="str">
        <f aca="false">IF(H31="","",ROW()-1)</f>
        <v/>
      </c>
      <c r="B31" s="4"/>
      <c r="C31" s="5"/>
      <c r="D31" s="5"/>
      <c r="E31" s="5"/>
      <c r="F31" s="6"/>
      <c r="G31" s="5"/>
      <c r="H31" s="7"/>
      <c r="I31" s="8" t="str">
        <f aca="false">IF(H31="","",INDEX(환율!$B$2:$B$10,MATCH(G31,환율!$A$2:$A$10,0)))</f>
        <v/>
      </c>
      <c r="J31" s="9" t="str">
        <f aca="false">IF(H31="","",H31*I31)</f>
        <v/>
      </c>
      <c r="K31" s="10" t="str">
        <f aca="false">IF(H31="","",J31/INDEX(환율!$B$2:$B$10,MATCH("USD",환율!$A$2:$A$10,0)))</f>
        <v/>
      </c>
      <c r="L31" s="9" t="str">
        <f aca="false">IF(H31="","",J31/INDEX(환율!$B$2:$B$10,MATCH("MNT",환율!$A$2:$A$10,0)))</f>
        <v/>
      </c>
      <c r="M31" s="6"/>
      <c r="N31" s="6"/>
      <c r="O31" s="6"/>
      <c r="P31" s="5"/>
    </row>
    <row r="32" customFormat="false" ht="15" hidden="false" customHeight="false" outlineLevel="0" collapsed="false">
      <c r="A32" s="3" t="str">
        <f aca="false">IF(H32="","",ROW()-1)</f>
        <v/>
      </c>
      <c r="B32" s="4"/>
      <c r="C32" s="5"/>
      <c r="D32" s="5"/>
      <c r="E32" s="5"/>
      <c r="F32" s="6"/>
      <c r="G32" s="5"/>
      <c r="H32" s="7"/>
      <c r="I32" s="8" t="str">
        <f aca="false">IF(H32="","",INDEX(환율!$B$2:$B$10,MATCH(G32,환율!$A$2:$A$10,0)))</f>
        <v/>
      </c>
      <c r="J32" s="9" t="str">
        <f aca="false">IF(H32="","",H32*I32)</f>
        <v/>
      </c>
      <c r="K32" s="10" t="str">
        <f aca="false">IF(H32="","",J32/INDEX(환율!$B$2:$B$10,MATCH("USD",환율!$A$2:$A$10,0)))</f>
        <v/>
      </c>
      <c r="L32" s="9" t="str">
        <f aca="false">IF(H32="","",J32/INDEX(환율!$B$2:$B$10,MATCH("MNT",환율!$A$2:$A$10,0)))</f>
        <v/>
      </c>
      <c r="M32" s="6"/>
      <c r="N32" s="6"/>
      <c r="O32" s="6"/>
      <c r="P32" s="5"/>
    </row>
    <row r="33" customFormat="false" ht="15" hidden="false" customHeight="false" outlineLevel="0" collapsed="false">
      <c r="A33" s="3" t="str">
        <f aca="false">IF(H33="","",ROW()-1)</f>
        <v/>
      </c>
      <c r="B33" s="4"/>
      <c r="C33" s="5"/>
      <c r="D33" s="5"/>
      <c r="E33" s="5"/>
      <c r="F33" s="6"/>
      <c r="G33" s="5"/>
      <c r="H33" s="7"/>
      <c r="I33" s="8" t="str">
        <f aca="false">IF(H33="","",INDEX(환율!$B$2:$B$10,MATCH(G33,환율!$A$2:$A$10,0)))</f>
        <v/>
      </c>
      <c r="J33" s="9" t="str">
        <f aca="false">IF(H33="","",H33*I33)</f>
        <v/>
      </c>
      <c r="K33" s="10" t="str">
        <f aca="false">IF(H33="","",J33/INDEX(환율!$B$2:$B$10,MATCH("USD",환율!$A$2:$A$10,0)))</f>
        <v/>
      </c>
      <c r="L33" s="9" t="str">
        <f aca="false">IF(H33="","",J33/INDEX(환율!$B$2:$B$10,MATCH("MNT",환율!$A$2:$A$10,0)))</f>
        <v/>
      </c>
      <c r="M33" s="6"/>
      <c r="N33" s="6"/>
      <c r="O33" s="6"/>
      <c r="P33" s="5"/>
    </row>
    <row r="34" customFormat="false" ht="15" hidden="false" customHeight="false" outlineLevel="0" collapsed="false">
      <c r="A34" s="3" t="str">
        <f aca="false">IF(H34="","",ROW()-1)</f>
        <v/>
      </c>
      <c r="B34" s="4"/>
      <c r="C34" s="5"/>
      <c r="D34" s="5"/>
      <c r="E34" s="5"/>
      <c r="F34" s="6"/>
      <c r="G34" s="5"/>
      <c r="H34" s="7"/>
      <c r="I34" s="8" t="str">
        <f aca="false">IF(H34="","",INDEX(환율!$B$2:$B$10,MATCH(G34,환율!$A$2:$A$10,0)))</f>
        <v/>
      </c>
      <c r="J34" s="9" t="str">
        <f aca="false">IF(H34="","",H34*I34)</f>
        <v/>
      </c>
      <c r="K34" s="10" t="str">
        <f aca="false">IF(H34="","",J34/INDEX(환율!$B$2:$B$10,MATCH("USD",환율!$A$2:$A$10,0)))</f>
        <v/>
      </c>
      <c r="L34" s="9" t="str">
        <f aca="false">IF(H34="","",J34/INDEX(환율!$B$2:$B$10,MATCH("MNT",환율!$A$2:$A$10,0)))</f>
        <v/>
      </c>
      <c r="M34" s="6"/>
      <c r="N34" s="6"/>
      <c r="O34" s="6"/>
      <c r="P34" s="5"/>
    </row>
    <row r="35" customFormat="false" ht="15" hidden="false" customHeight="false" outlineLevel="0" collapsed="false">
      <c r="A35" s="3" t="str">
        <f aca="false">IF(H35="","",ROW()-1)</f>
        <v/>
      </c>
      <c r="B35" s="4"/>
      <c r="C35" s="5"/>
      <c r="D35" s="5"/>
      <c r="E35" s="5"/>
      <c r="F35" s="6"/>
      <c r="G35" s="5"/>
      <c r="H35" s="7"/>
      <c r="I35" s="8" t="str">
        <f aca="false">IF(H35="","",INDEX(환율!$B$2:$B$10,MATCH(G35,환율!$A$2:$A$10,0)))</f>
        <v/>
      </c>
      <c r="J35" s="9" t="str">
        <f aca="false">IF(H35="","",H35*I35)</f>
        <v/>
      </c>
      <c r="K35" s="10" t="str">
        <f aca="false">IF(H35="","",J35/INDEX(환율!$B$2:$B$10,MATCH("USD",환율!$A$2:$A$10,0)))</f>
        <v/>
      </c>
      <c r="L35" s="9" t="str">
        <f aca="false">IF(H35="","",J35/INDEX(환율!$B$2:$B$10,MATCH("MNT",환율!$A$2:$A$10,0)))</f>
        <v/>
      </c>
      <c r="M35" s="6"/>
      <c r="N35" s="6"/>
      <c r="O35" s="6"/>
      <c r="P35" s="5"/>
    </row>
    <row r="36" customFormat="false" ht="15" hidden="false" customHeight="false" outlineLevel="0" collapsed="false">
      <c r="A36" s="3" t="str">
        <f aca="false">IF(H36="","",ROW()-1)</f>
        <v/>
      </c>
      <c r="B36" s="4"/>
      <c r="C36" s="5"/>
      <c r="D36" s="5"/>
      <c r="E36" s="5"/>
      <c r="F36" s="6"/>
      <c r="G36" s="5"/>
      <c r="H36" s="7"/>
      <c r="I36" s="8" t="str">
        <f aca="false">IF(H36="","",INDEX(환율!$B$2:$B$10,MATCH(G36,환율!$A$2:$A$10,0)))</f>
        <v/>
      </c>
      <c r="J36" s="9" t="str">
        <f aca="false">IF(H36="","",H36*I36)</f>
        <v/>
      </c>
      <c r="K36" s="10" t="str">
        <f aca="false">IF(H36="","",J36/INDEX(환율!$B$2:$B$10,MATCH("USD",환율!$A$2:$A$10,0)))</f>
        <v/>
      </c>
      <c r="L36" s="9" t="str">
        <f aca="false">IF(H36="","",J36/INDEX(환율!$B$2:$B$10,MATCH("MNT",환율!$A$2:$A$10,0)))</f>
        <v/>
      </c>
      <c r="M36" s="6"/>
      <c r="N36" s="6"/>
      <c r="O36" s="6"/>
      <c r="P36" s="5"/>
    </row>
    <row r="37" customFormat="false" ht="15" hidden="false" customHeight="false" outlineLevel="0" collapsed="false">
      <c r="A37" s="3" t="str">
        <f aca="false">IF(H37="","",ROW()-1)</f>
        <v/>
      </c>
      <c r="B37" s="4"/>
      <c r="C37" s="5"/>
      <c r="D37" s="5"/>
      <c r="E37" s="5"/>
      <c r="F37" s="6"/>
      <c r="G37" s="5"/>
      <c r="H37" s="7"/>
      <c r="I37" s="8" t="str">
        <f aca="false">IF(H37="","",INDEX(환율!$B$2:$B$10,MATCH(G37,환율!$A$2:$A$10,0)))</f>
        <v/>
      </c>
      <c r="J37" s="9" t="str">
        <f aca="false">IF(H37="","",H37*I37)</f>
        <v/>
      </c>
      <c r="K37" s="10" t="str">
        <f aca="false">IF(H37="","",J37/INDEX(환율!$B$2:$B$10,MATCH("USD",환율!$A$2:$A$10,0)))</f>
        <v/>
      </c>
      <c r="L37" s="9" t="str">
        <f aca="false">IF(H37="","",J37/INDEX(환율!$B$2:$B$10,MATCH("MNT",환율!$A$2:$A$10,0)))</f>
        <v/>
      </c>
      <c r="M37" s="6"/>
      <c r="N37" s="6"/>
      <c r="O37" s="6"/>
      <c r="P37" s="5"/>
    </row>
    <row r="38" customFormat="false" ht="15" hidden="false" customHeight="false" outlineLevel="0" collapsed="false">
      <c r="A38" s="3" t="str">
        <f aca="false">IF(H38="","",ROW()-1)</f>
        <v/>
      </c>
      <c r="B38" s="4"/>
      <c r="C38" s="5"/>
      <c r="D38" s="5"/>
      <c r="E38" s="5"/>
      <c r="F38" s="6"/>
      <c r="G38" s="5"/>
      <c r="H38" s="7"/>
      <c r="I38" s="8" t="str">
        <f aca="false">IF(H38="","",INDEX(환율!$B$2:$B$10,MATCH(G38,환율!$A$2:$A$10,0)))</f>
        <v/>
      </c>
      <c r="J38" s="9" t="str">
        <f aca="false">IF(H38="","",H38*I38)</f>
        <v/>
      </c>
      <c r="K38" s="10" t="str">
        <f aca="false">IF(H38="","",J38/INDEX(환율!$B$2:$B$10,MATCH("USD",환율!$A$2:$A$10,0)))</f>
        <v/>
      </c>
      <c r="L38" s="9" t="str">
        <f aca="false">IF(H38="","",J38/INDEX(환율!$B$2:$B$10,MATCH("MNT",환율!$A$2:$A$10,0)))</f>
        <v/>
      </c>
      <c r="M38" s="6"/>
      <c r="N38" s="6"/>
      <c r="O38" s="6"/>
      <c r="P38" s="5"/>
    </row>
    <row r="39" customFormat="false" ht="15" hidden="false" customHeight="false" outlineLevel="0" collapsed="false">
      <c r="A39" s="3" t="str">
        <f aca="false">IF(H39="","",ROW()-1)</f>
        <v/>
      </c>
      <c r="B39" s="4"/>
      <c r="C39" s="5"/>
      <c r="D39" s="5"/>
      <c r="E39" s="5"/>
      <c r="F39" s="6"/>
      <c r="G39" s="5"/>
      <c r="H39" s="7"/>
      <c r="I39" s="8" t="str">
        <f aca="false">IF(H39="","",INDEX(환율!$B$2:$B$10,MATCH(G39,환율!$A$2:$A$10,0)))</f>
        <v/>
      </c>
      <c r="J39" s="9" t="str">
        <f aca="false">IF(H39="","",H39*I39)</f>
        <v/>
      </c>
      <c r="K39" s="10" t="str">
        <f aca="false">IF(H39="","",J39/INDEX(환율!$B$2:$B$10,MATCH("USD",환율!$A$2:$A$10,0)))</f>
        <v/>
      </c>
      <c r="L39" s="9" t="str">
        <f aca="false">IF(H39="","",J39/INDEX(환율!$B$2:$B$10,MATCH("MNT",환율!$A$2:$A$10,0)))</f>
        <v/>
      </c>
      <c r="M39" s="6"/>
      <c r="N39" s="6"/>
      <c r="O39" s="6"/>
      <c r="P39" s="5"/>
    </row>
    <row r="40" customFormat="false" ht="15" hidden="false" customHeight="false" outlineLevel="0" collapsed="false">
      <c r="A40" s="3" t="str">
        <f aca="false">IF(H40="","",ROW()-1)</f>
        <v/>
      </c>
      <c r="B40" s="4"/>
      <c r="C40" s="5"/>
      <c r="D40" s="5"/>
      <c r="E40" s="5"/>
      <c r="F40" s="6"/>
      <c r="G40" s="5"/>
      <c r="H40" s="7"/>
      <c r="I40" s="8" t="str">
        <f aca="false">IF(H40="","",INDEX(환율!$B$2:$B$10,MATCH(G40,환율!$A$2:$A$10,0)))</f>
        <v/>
      </c>
      <c r="J40" s="9" t="str">
        <f aca="false">IF(H40="","",H40*I40)</f>
        <v/>
      </c>
      <c r="K40" s="10" t="str">
        <f aca="false">IF(H40="","",J40/INDEX(환율!$B$2:$B$10,MATCH("USD",환율!$A$2:$A$10,0)))</f>
        <v/>
      </c>
      <c r="L40" s="9" t="str">
        <f aca="false">IF(H40="","",J40/INDEX(환율!$B$2:$B$10,MATCH("MNT",환율!$A$2:$A$10,0)))</f>
        <v/>
      </c>
      <c r="M40" s="6"/>
      <c r="N40" s="6"/>
      <c r="O40" s="6"/>
      <c r="P40" s="5"/>
    </row>
    <row r="41" customFormat="false" ht="15" hidden="false" customHeight="false" outlineLevel="0" collapsed="false">
      <c r="A41" s="3" t="str">
        <f aca="false">IF(H41="","",ROW()-1)</f>
        <v/>
      </c>
      <c r="B41" s="4"/>
      <c r="C41" s="5"/>
      <c r="D41" s="5"/>
      <c r="E41" s="5"/>
      <c r="F41" s="6"/>
      <c r="G41" s="5"/>
      <c r="H41" s="7"/>
      <c r="I41" s="8" t="str">
        <f aca="false">IF(H41="","",INDEX(환율!$B$2:$B$10,MATCH(G41,환율!$A$2:$A$10,0)))</f>
        <v/>
      </c>
      <c r="J41" s="9" t="str">
        <f aca="false">IF(H41="","",H41*I41)</f>
        <v/>
      </c>
      <c r="K41" s="10" t="str">
        <f aca="false">IF(H41="","",J41/INDEX(환율!$B$2:$B$10,MATCH("USD",환율!$A$2:$A$10,0)))</f>
        <v/>
      </c>
      <c r="L41" s="9" t="str">
        <f aca="false">IF(H41="","",J41/INDEX(환율!$B$2:$B$10,MATCH("MNT",환율!$A$2:$A$10,0)))</f>
        <v/>
      </c>
      <c r="M41" s="6"/>
      <c r="N41" s="6"/>
      <c r="O41" s="6"/>
      <c r="P41" s="5"/>
    </row>
    <row r="42" customFormat="false" ht="15" hidden="false" customHeight="false" outlineLevel="0" collapsed="false">
      <c r="A42" s="3" t="str">
        <f aca="false">IF(H42="","",ROW()-1)</f>
        <v/>
      </c>
      <c r="B42" s="4"/>
      <c r="C42" s="5"/>
      <c r="D42" s="5"/>
      <c r="E42" s="5"/>
      <c r="F42" s="6"/>
      <c r="G42" s="5"/>
      <c r="H42" s="7"/>
      <c r="I42" s="8" t="str">
        <f aca="false">IF(H42="","",INDEX(환율!$B$2:$B$10,MATCH(G42,환율!$A$2:$A$10,0)))</f>
        <v/>
      </c>
      <c r="J42" s="9" t="str">
        <f aca="false">IF(H42="","",H42*I42)</f>
        <v/>
      </c>
      <c r="K42" s="10" t="str">
        <f aca="false">IF(H42="","",J42/INDEX(환율!$B$2:$B$10,MATCH("USD",환율!$A$2:$A$10,0)))</f>
        <v/>
      </c>
      <c r="L42" s="9" t="str">
        <f aca="false">IF(H42="","",J42/INDEX(환율!$B$2:$B$10,MATCH("MNT",환율!$A$2:$A$10,0)))</f>
        <v/>
      </c>
      <c r="M42" s="6"/>
      <c r="N42" s="6"/>
      <c r="O42" s="6"/>
      <c r="P42" s="5"/>
    </row>
    <row r="43" customFormat="false" ht="15" hidden="false" customHeight="false" outlineLevel="0" collapsed="false">
      <c r="A43" s="3" t="str">
        <f aca="false">IF(H43="","",ROW()-1)</f>
        <v/>
      </c>
      <c r="B43" s="4"/>
      <c r="C43" s="5"/>
      <c r="D43" s="5"/>
      <c r="E43" s="5"/>
      <c r="F43" s="6"/>
      <c r="G43" s="5"/>
      <c r="H43" s="7"/>
      <c r="I43" s="8" t="str">
        <f aca="false">IF(H43="","",INDEX(환율!$B$2:$B$10,MATCH(G43,환율!$A$2:$A$10,0)))</f>
        <v/>
      </c>
      <c r="J43" s="9" t="str">
        <f aca="false">IF(H43="","",H43*I43)</f>
        <v/>
      </c>
      <c r="K43" s="10" t="str">
        <f aca="false">IF(H43="","",J43/INDEX(환율!$B$2:$B$10,MATCH("USD",환율!$A$2:$A$10,0)))</f>
        <v/>
      </c>
      <c r="L43" s="9" t="str">
        <f aca="false">IF(H43="","",J43/INDEX(환율!$B$2:$B$10,MATCH("MNT",환율!$A$2:$A$10,0)))</f>
        <v/>
      </c>
      <c r="M43" s="6"/>
      <c r="N43" s="6"/>
      <c r="O43" s="6"/>
      <c r="P43" s="5"/>
    </row>
    <row r="44" customFormat="false" ht="15" hidden="false" customHeight="false" outlineLevel="0" collapsed="false">
      <c r="A44" s="3" t="str">
        <f aca="false">IF(H44="","",ROW()-1)</f>
        <v/>
      </c>
      <c r="B44" s="4"/>
      <c r="C44" s="5"/>
      <c r="D44" s="5"/>
      <c r="E44" s="5"/>
      <c r="F44" s="6"/>
      <c r="G44" s="5"/>
      <c r="H44" s="7"/>
      <c r="I44" s="8" t="str">
        <f aca="false">IF(H44="","",INDEX(환율!$B$2:$B$10,MATCH(G44,환율!$A$2:$A$10,0)))</f>
        <v/>
      </c>
      <c r="J44" s="9" t="str">
        <f aca="false">IF(H44="","",H44*I44)</f>
        <v/>
      </c>
      <c r="K44" s="10" t="str">
        <f aca="false">IF(H44="","",J44/INDEX(환율!$B$2:$B$10,MATCH("USD",환율!$A$2:$A$10,0)))</f>
        <v/>
      </c>
      <c r="L44" s="9" t="str">
        <f aca="false">IF(H44="","",J44/INDEX(환율!$B$2:$B$10,MATCH("MNT",환율!$A$2:$A$10,0)))</f>
        <v/>
      </c>
      <c r="M44" s="6"/>
      <c r="N44" s="6"/>
      <c r="O44" s="6"/>
      <c r="P44" s="5"/>
    </row>
    <row r="45" customFormat="false" ht="15" hidden="false" customHeight="false" outlineLevel="0" collapsed="false">
      <c r="A45" s="3" t="str">
        <f aca="false">IF(H45="","",ROW()-1)</f>
        <v/>
      </c>
      <c r="B45" s="4"/>
      <c r="C45" s="5"/>
      <c r="D45" s="5"/>
      <c r="E45" s="5"/>
      <c r="F45" s="6"/>
      <c r="G45" s="5"/>
      <c r="H45" s="7"/>
      <c r="I45" s="8" t="str">
        <f aca="false">IF(H45="","",INDEX(환율!$B$2:$B$10,MATCH(G45,환율!$A$2:$A$10,0)))</f>
        <v/>
      </c>
      <c r="J45" s="9" t="str">
        <f aca="false">IF(H45="","",H45*I45)</f>
        <v/>
      </c>
      <c r="K45" s="10" t="str">
        <f aca="false">IF(H45="","",J45/INDEX(환율!$B$2:$B$10,MATCH("USD",환율!$A$2:$A$10,0)))</f>
        <v/>
      </c>
      <c r="L45" s="9" t="str">
        <f aca="false">IF(H45="","",J45/INDEX(환율!$B$2:$B$10,MATCH("MNT",환율!$A$2:$A$10,0)))</f>
        <v/>
      </c>
      <c r="M45" s="6"/>
      <c r="N45" s="6"/>
      <c r="O45" s="6"/>
      <c r="P45" s="5"/>
    </row>
    <row r="46" customFormat="false" ht="15" hidden="false" customHeight="false" outlineLevel="0" collapsed="false">
      <c r="A46" s="3" t="str">
        <f aca="false">IF(H46="","",ROW()-1)</f>
        <v/>
      </c>
      <c r="B46" s="4"/>
      <c r="C46" s="5"/>
      <c r="D46" s="5"/>
      <c r="E46" s="5"/>
      <c r="F46" s="6"/>
      <c r="G46" s="5"/>
      <c r="H46" s="7"/>
      <c r="I46" s="8" t="str">
        <f aca="false">IF(H46="","",INDEX(환율!$B$2:$B$10,MATCH(G46,환율!$A$2:$A$10,0)))</f>
        <v/>
      </c>
      <c r="J46" s="9" t="str">
        <f aca="false">IF(H46="","",H46*I46)</f>
        <v/>
      </c>
      <c r="K46" s="10" t="str">
        <f aca="false">IF(H46="","",J46/INDEX(환율!$B$2:$B$10,MATCH("USD",환율!$A$2:$A$10,0)))</f>
        <v/>
      </c>
      <c r="L46" s="9" t="str">
        <f aca="false">IF(H46="","",J46/INDEX(환율!$B$2:$B$10,MATCH("MNT",환율!$A$2:$A$10,0)))</f>
        <v/>
      </c>
      <c r="M46" s="6"/>
      <c r="N46" s="6"/>
      <c r="O46" s="6"/>
      <c r="P46" s="5"/>
    </row>
    <row r="47" customFormat="false" ht="15" hidden="false" customHeight="false" outlineLevel="0" collapsed="false">
      <c r="A47" s="3" t="str">
        <f aca="false">IF(H47="","",ROW()-1)</f>
        <v/>
      </c>
      <c r="B47" s="4"/>
      <c r="C47" s="5"/>
      <c r="D47" s="5"/>
      <c r="E47" s="5"/>
      <c r="F47" s="6"/>
      <c r="G47" s="5"/>
      <c r="H47" s="7"/>
      <c r="I47" s="8" t="str">
        <f aca="false">IF(H47="","",INDEX(환율!$B$2:$B$10,MATCH(G47,환율!$A$2:$A$10,0)))</f>
        <v/>
      </c>
      <c r="J47" s="9" t="str">
        <f aca="false">IF(H47="","",H47*I47)</f>
        <v/>
      </c>
      <c r="K47" s="10" t="str">
        <f aca="false">IF(H47="","",J47/INDEX(환율!$B$2:$B$10,MATCH("USD",환율!$A$2:$A$10,0)))</f>
        <v/>
      </c>
      <c r="L47" s="9" t="str">
        <f aca="false">IF(H47="","",J47/INDEX(환율!$B$2:$B$10,MATCH("MNT",환율!$A$2:$A$10,0)))</f>
        <v/>
      </c>
      <c r="M47" s="6"/>
      <c r="N47" s="6"/>
      <c r="O47" s="6"/>
      <c r="P47" s="5"/>
    </row>
    <row r="48" customFormat="false" ht="15" hidden="false" customHeight="false" outlineLevel="0" collapsed="false">
      <c r="A48" s="3" t="str">
        <f aca="false">IF(H48="","",ROW()-1)</f>
        <v/>
      </c>
      <c r="B48" s="4"/>
      <c r="C48" s="5"/>
      <c r="D48" s="5"/>
      <c r="E48" s="5"/>
      <c r="F48" s="6"/>
      <c r="G48" s="5"/>
      <c r="H48" s="7"/>
      <c r="I48" s="8" t="str">
        <f aca="false">IF(H48="","",INDEX(환율!$B$2:$B$10,MATCH(G48,환율!$A$2:$A$10,0)))</f>
        <v/>
      </c>
      <c r="J48" s="9" t="str">
        <f aca="false">IF(H48="","",H48*I48)</f>
        <v/>
      </c>
      <c r="K48" s="10" t="str">
        <f aca="false">IF(H48="","",J48/INDEX(환율!$B$2:$B$10,MATCH("USD",환율!$A$2:$A$10,0)))</f>
        <v/>
      </c>
      <c r="L48" s="9" t="str">
        <f aca="false">IF(H48="","",J48/INDEX(환율!$B$2:$B$10,MATCH("MNT",환율!$A$2:$A$10,0)))</f>
        <v/>
      </c>
      <c r="M48" s="6"/>
      <c r="N48" s="6"/>
      <c r="O48" s="6"/>
      <c r="P48" s="5"/>
    </row>
    <row r="49" customFormat="false" ht="15" hidden="false" customHeight="false" outlineLevel="0" collapsed="false">
      <c r="A49" s="3" t="str">
        <f aca="false">IF(H49="","",ROW()-1)</f>
        <v/>
      </c>
      <c r="B49" s="4"/>
      <c r="C49" s="5"/>
      <c r="D49" s="5"/>
      <c r="E49" s="5"/>
      <c r="F49" s="6"/>
      <c r="G49" s="5"/>
      <c r="H49" s="7"/>
      <c r="I49" s="8" t="str">
        <f aca="false">IF(H49="","",INDEX(환율!$B$2:$B$10,MATCH(G49,환율!$A$2:$A$10,0)))</f>
        <v/>
      </c>
      <c r="J49" s="9" t="str">
        <f aca="false">IF(H49="","",H49*I49)</f>
        <v/>
      </c>
      <c r="K49" s="10" t="str">
        <f aca="false">IF(H49="","",J49/INDEX(환율!$B$2:$B$10,MATCH("USD",환율!$A$2:$A$10,0)))</f>
        <v/>
      </c>
      <c r="L49" s="9" t="str">
        <f aca="false">IF(H49="","",J49/INDEX(환율!$B$2:$B$10,MATCH("MNT",환율!$A$2:$A$10,0)))</f>
        <v/>
      </c>
      <c r="M49" s="6"/>
      <c r="N49" s="6"/>
      <c r="O49" s="6"/>
      <c r="P49" s="5"/>
    </row>
    <row r="50" customFormat="false" ht="15" hidden="false" customHeight="false" outlineLevel="0" collapsed="false">
      <c r="A50" s="3" t="str">
        <f aca="false">IF(H50="","",ROW()-1)</f>
        <v/>
      </c>
      <c r="B50" s="4"/>
      <c r="C50" s="5"/>
      <c r="D50" s="5"/>
      <c r="E50" s="5"/>
      <c r="F50" s="6"/>
      <c r="G50" s="5"/>
      <c r="H50" s="7"/>
      <c r="I50" s="8" t="str">
        <f aca="false">IF(H50="","",INDEX(환율!$B$2:$B$10,MATCH(G50,환율!$A$2:$A$10,0)))</f>
        <v/>
      </c>
      <c r="J50" s="9" t="str">
        <f aca="false">IF(H50="","",H50*I50)</f>
        <v/>
      </c>
      <c r="K50" s="10" t="str">
        <f aca="false">IF(H50="","",J50/INDEX(환율!$B$2:$B$10,MATCH("USD",환율!$A$2:$A$10,0)))</f>
        <v/>
      </c>
      <c r="L50" s="9" t="str">
        <f aca="false">IF(H50="","",J50/INDEX(환율!$B$2:$B$10,MATCH("MNT",환율!$A$2:$A$10,0)))</f>
        <v/>
      </c>
      <c r="M50" s="6"/>
      <c r="N50" s="6"/>
      <c r="O50" s="6"/>
      <c r="P50" s="5"/>
    </row>
    <row r="51" customFormat="false" ht="15" hidden="false" customHeight="false" outlineLevel="0" collapsed="false">
      <c r="A51" s="3" t="str">
        <f aca="false">IF(H51="","",ROW()-1)</f>
        <v/>
      </c>
      <c r="B51" s="4"/>
      <c r="C51" s="5"/>
      <c r="D51" s="5"/>
      <c r="E51" s="5"/>
      <c r="F51" s="6"/>
      <c r="G51" s="5"/>
      <c r="H51" s="7"/>
      <c r="I51" s="8" t="str">
        <f aca="false">IF(H51="","",INDEX(환율!$B$2:$B$10,MATCH(G51,환율!$A$2:$A$10,0)))</f>
        <v/>
      </c>
      <c r="J51" s="9" t="str">
        <f aca="false">IF(H51="","",H51*I51)</f>
        <v/>
      </c>
      <c r="K51" s="10" t="str">
        <f aca="false">IF(H51="","",J51/INDEX(환율!$B$2:$B$10,MATCH("USD",환율!$A$2:$A$10,0)))</f>
        <v/>
      </c>
      <c r="L51" s="9" t="str">
        <f aca="false">IF(H51="","",J51/INDEX(환율!$B$2:$B$10,MATCH("MNT",환율!$A$2:$A$10,0)))</f>
        <v/>
      </c>
      <c r="M51" s="6"/>
      <c r="N51" s="6"/>
      <c r="O51" s="6"/>
      <c r="P51" s="5"/>
    </row>
    <row r="52" customFormat="false" ht="15" hidden="false" customHeight="false" outlineLevel="0" collapsed="false">
      <c r="A52" s="3" t="str">
        <f aca="false">IF(H52="","",ROW()-1)</f>
        <v/>
      </c>
      <c r="B52" s="4"/>
      <c r="C52" s="5"/>
      <c r="D52" s="5"/>
      <c r="E52" s="5"/>
      <c r="F52" s="6"/>
      <c r="G52" s="5"/>
      <c r="H52" s="7"/>
      <c r="I52" s="8" t="str">
        <f aca="false">IF(H52="","",INDEX(환율!$B$2:$B$10,MATCH(G52,환율!$A$2:$A$10,0)))</f>
        <v/>
      </c>
      <c r="J52" s="9" t="str">
        <f aca="false">IF(H52="","",H52*I52)</f>
        <v/>
      </c>
      <c r="K52" s="10" t="str">
        <f aca="false">IF(H52="","",J52/INDEX(환율!$B$2:$B$10,MATCH("USD",환율!$A$2:$A$10,0)))</f>
        <v/>
      </c>
      <c r="L52" s="9" t="str">
        <f aca="false">IF(H52="","",J52/INDEX(환율!$B$2:$B$10,MATCH("MNT",환율!$A$2:$A$10,0)))</f>
        <v/>
      </c>
      <c r="M52" s="6"/>
      <c r="N52" s="6"/>
      <c r="O52" s="6"/>
      <c r="P52" s="5"/>
    </row>
    <row r="53" customFormat="false" ht="15" hidden="false" customHeight="false" outlineLevel="0" collapsed="false">
      <c r="A53" s="3" t="str">
        <f aca="false">IF(H53="","",ROW()-1)</f>
        <v/>
      </c>
      <c r="B53" s="4"/>
      <c r="C53" s="5"/>
      <c r="D53" s="5"/>
      <c r="E53" s="5"/>
      <c r="F53" s="6"/>
      <c r="G53" s="5"/>
      <c r="H53" s="7"/>
      <c r="I53" s="8" t="str">
        <f aca="false">IF(H53="","",INDEX(환율!$B$2:$B$10,MATCH(G53,환율!$A$2:$A$10,0)))</f>
        <v/>
      </c>
      <c r="J53" s="9" t="str">
        <f aca="false">IF(H53="","",H53*I53)</f>
        <v/>
      </c>
      <c r="K53" s="10" t="str">
        <f aca="false">IF(H53="","",J53/INDEX(환율!$B$2:$B$10,MATCH("USD",환율!$A$2:$A$10,0)))</f>
        <v/>
      </c>
      <c r="L53" s="9" t="str">
        <f aca="false">IF(H53="","",J53/INDEX(환율!$B$2:$B$10,MATCH("MNT",환율!$A$2:$A$10,0)))</f>
        <v/>
      </c>
      <c r="M53" s="6"/>
      <c r="N53" s="6"/>
      <c r="O53" s="6"/>
      <c r="P53" s="5"/>
    </row>
    <row r="54" customFormat="false" ht="15" hidden="false" customHeight="false" outlineLevel="0" collapsed="false">
      <c r="A54" s="3" t="str">
        <f aca="false">IF(H54="","",ROW()-1)</f>
        <v/>
      </c>
      <c r="B54" s="4"/>
      <c r="C54" s="5"/>
      <c r="D54" s="5"/>
      <c r="E54" s="5"/>
      <c r="F54" s="6"/>
      <c r="G54" s="5"/>
      <c r="H54" s="7"/>
      <c r="I54" s="8" t="str">
        <f aca="false">IF(H54="","",INDEX(환율!$B$2:$B$10,MATCH(G54,환율!$A$2:$A$10,0)))</f>
        <v/>
      </c>
      <c r="J54" s="9" t="str">
        <f aca="false">IF(H54="","",H54*I54)</f>
        <v/>
      </c>
      <c r="K54" s="10" t="str">
        <f aca="false">IF(H54="","",J54/INDEX(환율!$B$2:$B$10,MATCH("USD",환율!$A$2:$A$10,0)))</f>
        <v/>
      </c>
      <c r="L54" s="9" t="str">
        <f aca="false">IF(H54="","",J54/INDEX(환율!$B$2:$B$10,MATCH("MNT",환율!$A$2:$A$10,0)))</f>
        <v/>
      </c>
      <c r="M54" s="6"/>
      <c r="N54" s="6"/>
      <c r="O54" s="6"/>
      <c r="P54" s="5"/>
    </row>
    <row r="55" customFormat="false" ht="15" hidden="false" customHeight="false" outlineLevel="0" collapsed="false">
      <c r="A55" s="3" t="str">
        <f aca="false">IF(H55="","",ROW()-1)</f>
        <v/>
      </c>
      <c r="B55" s="4"/>
      <c r="C55" s="5"/>
      <c r="D55" s="5"/>
      <c r="E55" s="5"/>
      <c r="F55" s="6"/>
      <c r="G55" s="5"/>
      <c r="H55" s="7"/>
      <c r="I55" s="8" t="str">
        <f aca="false">IF(H55="","",INDEX(환율!$B$2:$B$10,MATCH(G55,환율!$A$2:$A$10,0)))</f>
        <v/>
      </c>
      <c r="J55" s="9" t="str">
        <f aca="false">IF(H55="","",H55*I55)</f>
        <v/>
      </c>
      <c r="K55" s="10" t="str">
        <f aca="false">IF(H55="","",J55/INDEX(환율!$B$2:$B$10,MATCH("USD",환율!$A$2:$A$10,0)))</f>
        <v/>
      </c>
      <c r="L55" s="9" t="str">
        <f aca="false">IF(H55="","",J55/INDEX(환율!$B$2:$B$10,MATCH("MNT",환율!$A$2:$A$10,0)))</f>
        <v/>
      </c>
      <c r="M55" s="6"/>
      <c r="N55" s="6"/>
      <c r="O55" s="6"/>
      <c r="P55" s="5"/>
    </row>
    <row r="56" customFormat="false" ht="15" hidden="false" customHeight="false" outlineLevel="0" collapsed="false">
      <c r="A56" s="3" t="str">
        <f aca="false">IF(H56="","",ROW()-1)</f>
        <v/>
      </c>
      <c r="B56" s="4"/>
      <c r="C56" s="5"/>
      <c r="D56" s="5"/>
      <c r="E56" s="5"/>
      <c r="F56" s="6"/>
      <c r="G56" s="5"/>
      <c r="H56" s="7"/>
      <c r="I56" s="8" t="str">
        <f aca="false">IF(H56="","",INDEX(환율!$B$2:$B$10,MATCH(G56,환율!$A$2:$A$10,0)))</f>
        <v/>
      </c>
      <c r="J56" s="9" t="str">
        <f aca="false">IF(H56="","",H56*I56)</f>
        <v/>
      </c>
      <c r="K56" s="10" t="str">
        <f aca="false">IF(H56="","",J56/INDEX(환율!$B$2:$B$10,MATCH("USD",환율!$A$2:$A$10,0)))</f>
        <v/>
      </c>
      <c r="L56" s="9" t="str">
        <f aca="false">IF(H56="","",J56/INDEX(환율!$B$2:$B$10,MATCH("MNT",환율!$A$2:$A$10,0)))</f>
        <v/>
      </c>
      <c r="M56" s="6"/>
      <c r="N56" s="6"/>
      <c r="O56" s="6"/>
      <c r="P56" s="5"/>
    </row>
    <row r="57" customFormat="false" ht="15" hidden="false" customHeight="false" outlineLevel="0" collapsed="false">
      <c r="A57" s="3" t="str">
        <f aca="false">IF(H57="","",ROW()-1)</f>
        <v/>
      </c>
      <c r="B57" s="4"/>
      <c r="C57" s="5"/>
      <c r="D57" s="5"/>
      <c r="E57" s="5"/>
      <c r="F57" s="6"/>
      <c r="G57" s="5"/>
      <c r="H57" s="7"/>
      <c r="I57" s="8" t="str">
        <f aca="false">IF(H57="","",INDEX(환율!$B$2:$B$10,MATCH(G57,환율!$A$2:$A$10,0)))</f>
        <v/>
      </c>
      <c r="J57" s="9" t="str">
        <f aca="false">IF(H57="","",H57*I57)</f>
        <v/>
      </c>
      <c r="K57" s="10" t="str">
        <f aca="false">IF(H57="","",J57/INDEX(환율!$B$2:$B$10,MATCH("USD",환율!$A$2:$A$10,0)))</f>
        <v/>
      </c>
      <c r="L57" s="9" t="str">
        <f aca="false">IF(H57="","",J57/INDEX(환율!$B$2:$B$10,MATCH("MNT",환율!$A$2:$A$10,0)))</f>
        <v/>
      </c>
      <c r="M57" s="6"/>
      <c r="N57" s="6"/>
      <c r="O57" s="6"/>
      <c r="P57" s="5"/>
    </row>
    <row r="58" customFormat="false" ht="15" hidden="false" customHeight="false" outlineLevel="0" collapsed="false">
      <c r="A58" s="3" t="str">
        <f aca="false">IF(H58="","",ROW()-1)</f>
        <v/>
      </c>
      <c r="B58" s="4"/>
      <c r="C58" s="5"/>
      <c r="D58" s="5"/>
      <c r="E58" s="5"/>
      <c r="F58" s="6"/>
      <c r="G58" s="5"/>
      <c r="H58" s="7"/>
      <c r="I58" s="8" t="str">
        <f aca="false">IF(H58="","",INDEX(환율!$B$2:$B$10,MATCH(G58,환율!$A$2:$A$10,0)))</f>
        <v/>
      </c>
      <c r="J58" s="9" t="str">
        <f aca="false">IF(H58="","",H58*I58)</f>
        <v/>
      </c>
      <c r="K58" s="10" t="str">
        <f aca="false">IF(H58="","",J58/INDEX(환율!$B$2:$B$10,MATCH("USD",환율!$A$2:$A$10,0)))</f>
        <v/>
      </c>
      <c r="L58" s="9" t="str">
        <f aca="false">IF(H58="","",J58/INDEX(환율!$B$2:$B$10,MATCH("MNT",환율!$A$2:$A$10,0)))</f>
        <v/>
      </c>
      <c r="M58" s="6"/>
      <c r="N58" s="6"/>
      <c r="O58" s="6"/>
      <c r="P58" s="5"/>
    </row>
    <row r="59" customFormat="false" ht="15" hidden="false" customHeight="false" outlineLevel="0" collapsed="false">
      <c r="A59" s="3" t="str">
        <f aca="false">IF(H59="","",ROW()-1)</f>
        <v/>
      </c>
      <c r="B59" s="4"/>
      <c r="C59" s="5"/>
      <c r="D59" s="5"/>
      <c r="E59" s="5"/>
      <c r="F59" s="6"/>
      <c r="G59" s="5"/>
      <c r="H59" s="7"/>
      <c r="I59" s="8" t="str">
        <f aca="false">IF(H59="","",INDEX(환율!$B$2:$B$10,MATCH(G59,환율!$A$2:$A$10,0)))</f>
        <v/>
      </c>
      <c r="J59" s="9" t="str">
        <f aca="false">IF(H59="","",H59*I59)</f>
        <v/>
      </c>
      <c r="K59" s="10" t="str">
        <f aca="false">IF(H59="","",J59/INDEX(환율!$B$2:$B$10,MATCH("USD",환율!$A$2:$A$10,0)))</f>
        <v/>
      </c>
      <c r="L59" s="9" t="str">
        <f aca="false">IF(H59="","",J59/INDEX(환율!$B$2:$B$10,MATCH("MNT",환율!$A$2:$A$10,0)))</f>
        <v/>
      </c>
      <c r="M59" s="6"/>
      <c r="N59" s="6"/>
      <c r="O59" s="6"/>
      <c r="P59" s="5"/>
    </row>
    <row r="60" customFormat="false" ht="15" hidden="false" customHeight="false" outlineLevel="0" collapsed="false">
      <c r="A60" s="3" t="str">
        <f aca="false">IF(H60="","",ROW()-1)</f>
        <v/>
      </c>
      <c r="B60" s="4"/>
      <c r="C60" s="5"/>
      <c r="D60" s="5"/>
      <c r="E60" s="5"/>
      <c r="F60" s="6"/>
      <c r="G60" s="5"/>
      <c r="H60" s="7"/>
      <c r="I60" s="8" t="str">
        <f aca="false">IF(H60="","",INDEX(환율!$B$2:$B$10,MATCH(G60,환율!$A$2:$A$10,0)))</f>
        <v/>
      </c>
      <c r="J60" s="9" t="str">
        <f aca="false">IF(H60="","",H60*I60)</f>
        <v/>
      </c>
      <c r="K60" s="10" t="str">
        <f aca="false">IF(H60="","",J60/INDEX(환율!$B$2:$B$10,MATCH("USD",환율!$A$2:$A$10,0)))</f>
        <v/>
      </c>
      <c r="L60" s="9" t="str">
        <f aca="false">IF(H60="","",J60/INDEX(환율!$B$2:$B$10,MATCH("MNT",환율!$A$2:$A$10,0)))</f>
        <v/>
      </c>
      <c r="M60" s="6"/>
      <c r="N60" s="6"/>
      <c r="O60" s="6"/>
      <c r="P60" s="5"/>
    </row>
    <row r="61" customFormat="false" ht="15" hidden="false" customHeight="false" outlineLevel="0" collapsed="false">
      <c r="A61" s="3" t="str">
        <f aca="false">IF(H61="","",ROW()-1)</f>
        <v/>
      </c>
      <c r="B61" s="4"/>
      <c r="C61" s="5"/>
      <c r="D61" s="5"/>
      <c r="E61" s="5"/>
      <c r="F61" s="6"/>
      <c r="G61" s="5"/>
      <c r="H61" s="7"/>
      <c r="I61" s="8" t="str">
        <f aca="false">IF(H61="","",INDEX(환율!$B$2:$B$10,MATCH(G61,환율!$A$2:$A$10,0)))</f>
        <v/>
      </c>
      <c r="J61" s="9" t="str">
        <f aca="false">IF(H61="","",H61*I61)</f>
        <v/>
      </c>
      <c r="K61" s="10" t="str">
        <f aca="false">IF(H61="","",J61/INDEX(환율!$B$2:$B$10,MATCH("USD",환율!$A$2:$A$10,0)))</f>
        <v/>
      </c>
      <c r="L61" s="9" t="str">
        <f aca="false">IF(H61="","",J61/INDEX(환율!$B$2:$B$10,MATCH("MNT",환율!$A$2:$A$10,0)))</f>
        <v/>
      </c>
      <c r="M61" s="6"/>
      <c r="N61" s="6"/>
      <c r="O61" s="6"/>
      <c r="P61" s="5"/>
    </row>
    <row r="62" customFormat="false" ht="15" hidden="false" customHeight="false" outlineLevel="0" collapsed="false">
      <c r="E62" s="11" t="s">
        <v>59</v>
      </c>
      <c r="J62" s="12" t="n">
        <f aca="false">SUM(J2:J61)</f>
        <v>606727.6</v>
      </c>
      <c r="K62" s="13" t="n">
        <f aca="false">SUM(K2:K61)</f>
        <v>439.65768115942</v>
      </c>
      <c r="L62" s="12" t="n">
        <f aca="false">SUM(L2:L61)</f>
        <v>1516819</v>
      </c>
    </row>
  </sheetData>
  <autoFilter ref="A1:P61"/>
  <dataValidations count="5">
    <dataValidation allowBlank="true" errorStyle="stop" operator="between" showDropDown="false" showErrorMessage="false" showInputMessage="false" sqref="F2:F61" type="list">
      <formula1>"현금,카드,송금,미확인"</formula1>
      <formula2>0</formula2>
    </dataValidation>
    <dataValidation allowBlank="true" errorStyle="stop" operator="between" showDropDown="false" showErrorMessage="false" showInputMessage="false" sqref="G2:G61" type="list">
      <formula1>"KRW,USD,MNT"</formula1>
      <formula2>0</formula2>
    </dataValidation>
    <dataValidation allowBlank="true" errorStyle="stop" operator="between" showDropDown="false" showErrorMessage="false" showInputMessage="false" sqref="M2:M61" type="list">
      <formula1>"개인,공금,미정"</formula1>
      <formula2>0</formula2>
    </dataValidation>
    <dataValidation allowBlank="true" errorStyle="stop" operator="between" showDropDown="false" showErrorMessage="false" showInputMessage="false" sqref="N2:N61" type="list">
      <formula1>"예약금,생필품,기타"</formula1>
      <formula2>0</formula2>
    </dataValidation>
    <dataValidation allowBlank="true" errorStyle="stop" operator="between" showDropDown="false" showErrorMessage="false" showInputMessage="false" sqref="O2:O61" type="list">
      <formula1>"영수증,기존시트,노션,병합"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4" t="s">
        <v>60</v>
      </c>
      <c r="B1" s="15" t="s">
        <v>61</v>
      </c>
      <c r="C1" s="14" t="s">
        <v>62</v>
      </c>
    </row>
    <row r="2" customFormat="false" ht="15" hidden="false" customHeight="false" outlineLevel="0" collapsed="false">
      <c r="A2" s="16" t="s">
        <v>63</v>
      </c>
      <c r="B2" s="17" t="n">
        <v>1</v>
      </c>
      <c r="C2" s="18" t="s">
        <v>64</v>
      </c>
    </row>
    <row r="3" customFormat="false" ht="15" hidden="false" customHeight="false" outlineLevel="0" collapsed="false">
      <c r="A3" s="16" t="s">
        <v>65</v>
      </c>
      <c r="B3" s="19" t="n">
        <v>1380</v>
      </c>
      <c r="C3" s="18" t="s">
        <v>66</v>
      </c>
    </row>
    <row r="4" customFormat="false" ht="15" hidden="false" customHeight="false" outlineLevel="0" collapsed="false">
      <c r="A4" s="16" t="s">
        <v>19</v>
      </c>
      <c r="B4" s="19" t="n">
        <v>0.4</v>
      </c>
      <c r="C4" s="18" t="s">
        <v>66</v>
      </c>
    </row>
    <row r="6" customFormat="false" ht="15" hidden="false" customHeight="false" outlineLevel="0" collapsed="false">
      <c r="A6" s="20" t="s">
        <v>67</v>
      </c>
      <c r="B6" s="20"/>
      <c r="C6" s="20"/>
    </row>
    <row r="7" customFormat="false" ht="15" hidden="false" customHeight="false" outlineLevel="0" collapsed="false">
      <c r="A7" s="20" t="s">
        <v>68</v>
      </c>
      <c r="B7" s="20"/>
      <c r="C7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6.4" hidden="false" customHeight="false" outlineLevel="0" collapsed="false">
      <c r="A1" s="21" t="s">
        <v>69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6"/>
      <c r="B2" s="16"/>
      <c r="C2" s="16"/>
      <c r="D2" s="16"/>
      <c r="E2" s="16"/>
      <c r="F2" s="16"/>
      <c r="G2" s="16"/>
      <c r="H2" s="16"/>
    </row>
    <row r="3" customFormat="false" ht="15" hidden="false" customHeight="false" outlineLevel="0" collapsed="false">
      <c r="A3" s="14" t="s">
        <v>13</v>
      </c>
      <c r="B3" s="14" t="s">
        <v>70</v>
      </c>
      <c r="C3" s="14" t="s">
        <v>71</v>
      </c>
      <c r="D3" s="14" t="s">
        <v>20</v>
      </c>
      <c r="E3" s="14" t="s">
        <v>72</v>
      </c>
      <c r="F3" s="14" t="s">
        <v>10</v>
      </c>
      <c r="G3" s="14" t="s">
        <v>11</v>
      </c>
      <c r="H3" s="14" t="s">
        <v>73</v>
      </c>
    </row>
    <row r="4" customFormat="false" ht="15" hidden="false" customHeight="false" outlineLevel="0" collapsed="false">
      <c r="A4" s="22" t="s">
        <v>74</v>
      </c>
      <c r="B4" s="23" t="n">
        <f aca="false">SUMIFS(지출내역!$J$2:$J$61,지출내역!$N$2:$N$61,$A4,지출내역!$M$2:$M$61,B$3)</f>
        <v>0</v>
      </c>
      <c r="C4" s="23" t="n">
        <f aca="false">SUMIFS(지출내역!$J$2:$J$61,지출내역!$N$2:$N$61,$A4,지출내역!$M$2:$M$61,C$3)</f>
        <v>0</v>
      </c>
      <c r="D4" s="23" t="n">
        <f aca="false">SUMIFS(지출내역!$J$2:$J$61,지출내역!$N$2:$N$61,$A4,지출내역!$M$2:$M$61,D$3)</f>
        <v>0</v>
      </c>
      <c r="E4" s="23" t="n">
        <f aca="false">SUM(B4:D4)</f>
        <v>0</v>
      </c>
      <c r="F4" s="24" t="n">
        <f aca="false">E4/INDEX(환율!$B$2:$B$10,MATCH("USD",환율!$A$2:$A$10,0))</f>
        <v>0</v>
      </c>
      <c r="G4" s="23" t="n">
        <f aca="false">E4/INDEX(환율!$B$2:$B$10,MATCH("MNT",환율!$A$2:$A$10,0))</f>
        <v>0</v>
      </c>
      <c r="H4" s="25" t="n">
        <f aca="false">IF($E$7=0,0,E4/$E$7)</f>
        <v>0</v>
      </c>
    </row>
    <row r="5" customFormat="false" ht="15" hidden="false" customHeight="false" outlineLevel="0" collapsed="false">
      <c r="A5" s="22" t="s">
        <v>31</v>
      </c>
      <c r="B5" s="23" t="n">
        <f aca="false">SUMIFS(지출내역!$J$2:$J$61,지출내역!$N$2:$N$61,$A5,지출내역!$M$2:$M$61,B$3)</f>
        <v>0</v>
      </c>
      <c r="C5" s="23" t="n">
        <f aca="false">SUMIFS(지출내역!$J$2:$J$61,지출내역!$N$2:$N$61,$A5,지출내역!$M$2:$M$61,C$3)</f>
        <v>0</v>
      </c>
      <c r="D5" s="23" t="n">
        <f aca="false">SUMIFS(지출내역!$J$2:$J$61,지출내역!$N$2:$N$61,$A5,지출내역!$M$2:$M$61,D$3)</f>
        <v>70329.6</v>
      </c>
      <c r="E5" s="23" t="n">
        <f aca="false">SUM(B5:D5)</f>
        <v>70329.6</v>
      </c>
      <c r="F5" s="24" t="n">
        <f aca="false">E5/INDEX(환율!$B$2:$B$10,MATCH("USD",환율!$A$2:$A$10,0))</f>
        <v>50.9634782608696</v>
      </c>
      <c r="G5" s="23" t="n">
        <f aca="false">E5/INDEX(환율!$B$2:$B$10,MATCH("MNT",환율!$A$2:$A$10,0))</f>
        <v>175824</v>
      </c>
      <c r="H5" s="25" t="n">
        <f aca="false">IF($E$7=0,0,E5/$E$7)</f>
        <v>0.115916269508755</v>
      </c>
    </row>
    <row r="6" customFormat="false" ht="15" hidden="false" customHeight="false" outlineLevel="0" collapsed="false">
      <c r="A6" s="22" t="s">
        <v>21</v>
      </c>
      <c r="B6" s="23" t="n">
        <f aca="false">SUMIFS(지출내역!$J$2:$J$61,지출내역!$N$2:$N$61,$A6,지출내역!$M$2:$M$61,B$3)</f>
        <v>0</v>
      </c>
      <c r="C6" s="23" t="n">
        <f aca="false">SUMIFS(지출내역!$J$2:$J$61,지출내역!$N$2:$N$61,$A6,지출내역!$M$2:$M$61,C$3)</f>
        <v>0</v>
      </c>
      <c r="D6" s="23" t="n">
        <f aca="false">SUMIFS(지출내역!$J$2:$J$61,지출내역!$N$2:$N$61,$A6,지출내역!$M$2:$M$61,D$3)</f>
        <v>536398</v>
      </c>
      <c r="E6" s="23" t="n">
        <f aca="false">SUM(B6:D6)</f>
        <v>536398</v>
      </c>
      <c r="F6" s="24" t="n">
        <f aca="false">E6/INDEX(환율!$B$2:$B$10,MATCH("USD",환율!$A$2:$A$10,0))</f>
        <v>388.694202898551</v>
      </c>
      <c r="G6" s="23" t="n">
        <f aca="false">E6/INDEX(환율!$B$2:$B$10,MATCH("MNT",환율!$A$2:$A$10,0))</f>
        <v>1340995</v>
      </c>
      <c r="H6" s="25" t="n">
        <f aca="false">IF($E$7=0,0,E6/$E$7)</f>
        <v>0.884083730491245</v>
      </c>
    </row>
    <row r="7" customFormat="false" ht="15" hidden="false" customHeight="false" outlineLevel="0" collapsed="false">
      <c r="A7" s="26" t="s">
        <v>59</v>
      </c>
      <c r="B7" s="27" t="n">
        <f aca="false">SUM(B4:B6)</f>
        <v>0</v>
      </c>
      <c r="C7" s="27" t="n">
        <f aca="false">SUM(C4:C6)</f>
        <v>0</v>
      </c>
      <c r="D7" s="27" t="n">
        <f aca="false">SUM(D4:D6)</f>
        <v>606727.6</v>
      </c>
      <c r="E7" s="27" t="n">
        <f aca="false">SUM(E4:E6)</f>
        <v>606727.6</v>
      </c>
      <c r="F7" s="28" t="n">
        <f aca="false">SUM(F4:F6)</f>
        <v>439.65768115942</v>
      </c>
      <c r="G7" s="27" t="n">
        <f aca="false">SUM(G4:G6)</f>
        <v>1516819</v>
      </c>
      <c r="H7" s="29" t="n">
        <f aca="false">SUM(H4:H6)</f>
        <v>1</v>
      </c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6"/>
      <c r="H8" s="16"/>
    </row>
    <row r="9" customFormat="false" ht="15" hidden="false" customHeight="false" outlineLevel="0" collapsed="false">
      <c r="A9" s="30" t="s">
        <v>75</v>
      </c>
      <c r="B9" s="16"/>
      <c r="C9" s="16"/>
      <c r="D9" s="16"/>
      <c r="E9" s="16"/>
      <c r="F9" s="16"/>
      <c r="G9" s="16"/>
      <c r="H9" s="16"/>
    </row>
    <row r="10" customFormat="false" ht="15" hidden="false" customHeight="false" outlineLevel="0" collapsed="false">
      <c r="A10" s="31" t="n">
        <f aca="false">E7-지출내역!J62</f>
        <v>0</v>
      </c>
      <c r="B10" s="16"/>
      <c r="C10" s="16"/>
      <c r="D10" s="16"/>
      <c r="E10" s="16"/>
      <c r="F10" s="16"/>
      <c r="G10" s="16"/>
      <c r="H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6"/>
    </row>
    <row r="12" customFormat="false" ht="15" hidden="false" customHeight="false" outlineLevel="0" collapsed="false">
      <c r="A12" s="30" t="s">
        <v>76</v>
      </c>
      <c r="B12" s="16"/>
      <c r="C12" s="16"/>
      <c r="D12" s="16"/>
      <c r="E12" s="16"/>
      <c r="F12" s="16"/>
      <c r="G12" s="16"/>
      <c r="H1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2026-10-09T09:52:00Z</dcterms:created>
  <dc:creator>openpyxl</dc:creator>
  <dc:description/>
  <dc:language>en-US</dc:language>
  <cp:lastModifiedBy/>
  <dcterms:modified xsi:type="dcterms:W3CDTF">2026-10-09T09:52:00Z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